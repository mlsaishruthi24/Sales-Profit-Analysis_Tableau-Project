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 firstSheet="2" activeTab="3"/>
  </bookViews>
  <sheets>
    <sheet name="Samples" sheetId="2" r:id="rId1"/>
    <sheet name="Mathematical Functions" sheetId="3" r:id="rId2"/>
    <sheet name="Textual Functions" sheetId="4" r:id="rId3"/>
    <sheet name="Logical Functions" sheetId="5" r:id="rId4"/>
    <sheet name="Date &amp;Time Functions" sheetId="6" r:id="rId5"/>
    <sheet name="Look Up Function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<sst xmlns="http://schemas.openxmlformats.org/spreadsheetml/2006/main" count="329" uniqueCount="141">
  <si>
    <t>Columns</t>
  </si>
  <si>
    <t>Roll No</t>
  </si>
  <si>
    <t>Name</t>
  </si>
  <si>
    <t>Marks</t>
  </si>
  <si>
    <t>Number 1</t>
  </si>
  <si>
    <t>Number 2</t>
  </si>
  <si>
    <t>Sum</t>
  </si>
  <si>
    <t>Sum(constant)</t>
  </si>
  <si>
    <t>Difference</t>
  </si>
  <si>
    <t>Product</t>
  </si>
  <si>
    <t>Average</t>
  </si>
  <si>
    <t>Rows</t>
  </si>
  <si>
    <t>A</t>
  </si>
  <si>
    <t>Cells</t>
  </si>
  <si>
    <t>B</t>
  </si>
  <si>
    <t>C</t>
  </si>
  <si>
    <t>D</t>
  </si>
  <si>
    <t>E</t>
  </si>
  <si>
    <t>F</t>
  </si>
  <si>
    <t>G</t>
  </si>
  <si>
    <t>H</t>
  </si>
  <si>
    <t>I</t>
  </si>
  <si>
    <t>Constant</t>
  </si>
  <si>
    <t>J</t>
  </si>
  <si>
    <t>Students</t>
  </si>
  <si>
    <t>Maths</t>
  </si>
  <si>
    <t>Science</t>
  </si>
  <si>
    <t>English</t>
  </si>
  <si>
    <t>TOTAL</t>
  </si>
  <si>
    <t>AVERAGE</t>
  </si>
  <si>
    <t>RANK</t>
  </si>
  <si>
    <t>SUMPRODUCT</t>
  </si>
  <si>
    <t>RAND VALUE</t>
  </si>
  <si>
    <t>RAND BETWEEN</t>
  </si>
  <si>
    <t>Student 1</t>
  </si>
  <si>
    <t>Student 2</t>
  </si>
  <si>
    <t>Student 3</t>
  </si>
  <si>
    <t>Student 4</t>
  </si>
  <si>
    <t>Student 5</t>
  </si>
  <si>
    <t>Student 6</t>
  </si>
  <si>
    <t>MIN</t>
  </si>
  <si>
    <t>MAX</t>
  </si>
  <si>
    <t>Weights</t>
  </si>
  <si>
    <t>TRIM</t>
  </si>
  <si>
    <t>String</t>
  </si>
  <si>
    <t>Result</t>
  </si>
  <si>
    <t>Formula</t>
  </si>
  <si>
    <t xml:space="preserve">     Student 1</t>
  </si>
  <si>
    <t xml:space="preserve"> =TRIM(LB3)</t>
  </si>
  <si>
    <t>Student     2</t>
  </si>
  <si>
    <t xml:space="preserve"> =TRIM(LB4)</t>
  </si>
  <si>
    <t xml:space="preserve">Student 3            </t>
  </si>
  <si>
    <t xml:space="preserve"> =TRIM(LB5)</t>
  </si>
  <si>
    <t>CONCATENATE</t>
  </si>
  <si>
    <t xml:space="preserve"> =CONCATENATE()</t>
  </si>
  <si>
    <t>=&amp;"   "&amp;</t>
  </si>
  <si>
    <t>SUBSTITUTE</t>
  </si>
  <si>
    <r>
      <rPr>
        <sz val="11"/>
        <color indexed="8"/>
        <rFont val="Calibri"/>
        <charset val="134"/>
      </rPr>
      <t>Stu</t>
    </r>
    <r>
      <rPr>
        <sz val="11"/>
        <color indexed="10"/>
        <rFont val="Calibri"/>
        <charset val="134"/>
      </rPr>
      <t>b</t>
    </r>
    <r>
      <rPr>
        <sz val="11"/>
        <color indexed="8"/>
        <rFont val="Calibri"/>
        <charset val="134"/>
      </rPr>
      <t>ent</t>
    </r>
  </si>
  <si>
    <t xml:space="preserve"> =SUBSTITUTE(K7,"b","d")</t>
  </si>
  <si>
    <r>
      <rPr>
        <sz val="11"/>
        <color indexed="8"/>
        <rFont val="Calibri"/>
        <charset val="134"/>
      </rPr>
      <t xml:space="preserve">Student 1 scored </t>
    </r>
    <r>
      <rPr>
        <sz val="11"/>
        <color indexed="10"/>
        <rFont val="Calibri"/>
        <charset val="134"/>
      </rPr>
      <t>38</t>
    </r>
    <r>
      <rPr>
        <sz val="11"/>
        <color indexed="8"/>
        <rFont val="Calibri"/>
        <charset val="134"/>
      </rPr>
      <t xml:space="preserve"> marks in Science</t>
    </r>
  </si>
  <si>
    <t xml:space="preserve"> =SUBSTITUTE(K8,"38","95 ")</t>
  </si>
  <si>
    <r>
      <rPr>
        <sz val="11"/>
        <color indexed="8"/>
        <rFont val="Calibri"/>
        <charset val="134"/>
      </rPr>
      <t xml:space="preserve">Student 1 scored 85 marks in </t>
    </r>
    <r>
      <rPr>
        <sz val="11"/>
        <color indexed="10"/>
        <rFont val="Calibri"/>
        <charset val="134"/>
      </rPr>
      <t>Science</t>
    </r>
  </si>
  <si>
    <t xml:space="preserve"> =SUBSTITUTE(K9,"Science","English ")</t>
  </si>
  <si>
    <t>UPPER &amp; LOWER</t>
  </si>
  <si>
    <t>UPPER</t>
  </si>
  <si>
    <t>lower</t>
  </si>
  <si>
    <t>LENGTH</t>
  </si>
  <si>
    <t>Length</t>
  </si>
  <si>
    <t>Student two</t>
  </si>
  <si>
    <t>Student three</t>
  </si>
  <si>
    <t>Student four</t>
  </si>
  <si>
    <t>Student five</t>
  </si>
  <si>
    <t>Left, Right &amp; Middle</t>
  </si>
  <si>
    <t>QR code Value</t>
  </si>
  <si>
    <t>Year of Man</t>
  </si>
  <si>
    <t>Product ID</t>
  </si>
  <si>
    <t>Group</t>
  </si>
  <si>
    <r>
      <rPr>
        <sz val="11"/>
        <color indexed="21"/>
        <rFont val="Calibri"/>
        <charset val="134"/>
      </rPr>
      <t>2018</t>
    </r>
    <r>
      <rPr>
        <sz val="11"/>
        <color indexed="53"/>
        <rFont val="Calibri"/>
        <charset val="134"/>
      </rPr>
      <t>abcde</t>
    </r>
    <r>
      <rPr>
        <sz val="11"/>
        <color indexed="21"/>
        <rFont val="Calibri"/>
        <charset val="134"/>
      </rPr>
      <t>43</t>
    </r>
  </si>
  <si>
    <r>
      <rPr>
        <sz val="11"/>
        <color indexed="8"/>
        <rFont val="Calibri"/>
        <charset val="134"/>
      </rPr>
      <t>2018</t>
    </r>
    <r>
      <rPr>
        <sz val="11"/>
        <rFont val="Calibri"/>
        <charset val="134"/>
      </rPr>
      <t>werty</t>
    </r>
    <r>
      <rPr>
        <sz val="11"/>
        <color indexed="8"/>
        <rFont val="Calibri"/>
        <charset val="134"/>
      </rPr>
      <t>44</t>
    </r>
  </si>
  <si>
    <t>2018cvbnm43</t>
  </si>
  <si>
    <t>2017start45</t>
  </si>
  <si>
    <t>2018techa44</t>
  </si>
  <si>
    <t>2016acade43</t>
  </si>
  <si>
    <t>AND OR</t>
  </si>
  <si>
    <t>Maths score =100</t>
  </si>
  <si>
    <t>&gt;75 in all subjects</t>
  </si>
  <si>
    <t>&lt; 35 in any one subject</t>
  </si>
  <si>
    <t>Award</t>
  </si>
  <si>
    <t>Distinction</t>
  </si>
  <si>
    <t>Fail</t>
  </si>
  <si>
    <t>IF</t>
  </si>
  <si>
    <t>"A" for &gt;= 75
"B" for &lt;75</t>
  </si>
  <si>
    <t>"A" for &gt;= 85
"B" for &gt;=60
"C" for &lt; 60</t>
  </si>
  <si>
    <t>Passed with Distinction (&gt;75)</t>
  </si>
  <si>
    <t>Promoted to next class
(&lt;35)</t>
  </si>
  <si>
    <t>Maths Grade</t>
  </si>
  <si>
    <t>Science Grade</t>
  </si>
  <si>
    <t>English Grade</t>
  </si>
  <si>
    <t>COUNTIF</t>
  </si>
  <si>
    <t>Counts</t>
  </si>
  <si>
    <t>Number of Distinctions</t>
  </si>
  <si>
    <t>Grade</t>
  </si>
  <si>
    <t>Criteria</t>
  </si>
  <si>
    <t>&gt;75</t>
  </si>
  <si>
    <t>SUMIF</t>
  </si>
  <si>
    <t>Sum of marks obtained by Promoted students</t>
  </si>
  <si>
    <t>TIDAY, NOW</t>
  </si>
  <si>
    <t>TODAY()</t>
  </si>
  <si>
    <t>NOW()</t>
  </si>
  <si>
    <t>DAY, MONTH, YEAR</t>
  </si>
  <si>
    <t>=DAY(Date)</t>
  </si>
  <si>
    <t>=Month(Date)</t>
  </si>
  <si>
    <t>=Year(Date)</t>
  </si>
  <si>
    <t>DATE &amp;TIME DIFFERENCE</t>
  </si>
  <si>
    <t>Date 1</t>
  </si>
  <si>
    <t>Date 2</t>
  </si>
  <si>
    <t>DAYS</t>
  </si>
  <si>
    <t>IN Hours</t>
  </si>
  <si>
    <t>In Minutes</t>
  </si>
  <si>
    <t>+ , -</t>
  </si>
  <si>
    <t>DATEDIF</t>
  </si>
  <si>
    <t>VLOOKUP</t>
  </si>
  <si>
    <t>Music</t>
  </si>
  <si>
    <t>Student 42</t>
  </si>
  <si>
    <t>Student 23</t>
  </si>
  <si>
    <t>HLOOKUP</t>
  </si>
  <si>
    <t>History</t>
  </si>
  <si>
    <t>Sports</t>
  </si>
  <si>
    <t>Geography</t>
  </si>
  <si>
    <t>Student 7</t>
  </si>
  <si>
    <t>INDEX</t>
  </si>
  <si>
    <t>Enter+B36:D38 student Number</t>
  </si>
  <si>
    <t>Enter Subject Name</t>
  </si>
  <si>
    <t>Value</t>
  </si>
  <si>
    <t>MATCH</t>
  </si>
  <si>
    <t>Maximum marks</t>
  </si>
  <si>
    <t>Who Scored the maximum number</t>
  </si>
  <si>
    <t>In which subject Student 1, 2 and 3 scored their maximum marks</t>
  </si>
  <si>
    <t>Subject Number</t>
  </si>
  <si>
    <t>Student Number</t>
  </si>
  <si>
    <t>INDEX-MATCH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</si>
</sst>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dd/mm/yyyy"/>
    <numFmt numFmtId="182" formatCode="dd/mm/yyyy\ hh:mm"/>
    <numFmt numFmtId="183" formatCode="0.0"/>
  </numFmts>
  <fonts count="4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indexed="8"/>
      <name val="Calibri"/>
      <charset val="134"/>
    </font>
    <font>
      <b/>
      <sz val="12"/>
      <color rgb="FFFF0000"/>
      <name val="Calibri"/>
      <charset val="134"/>
    </font>
    <font>
      <sz val="12"/>
      <color indexed="8"/>
      <name val="Calibri"/>
      <charset val="134"/>
    </font>
    <font>
      <sz val="12"/>
      <color rgb="FFFF0000"/>
      <name val="Calibri"/>
      <charset val="134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rgb="FFFF0000"/>
      <name val="Calibri"/>
      <charset val="134"/>
    </font>
    <font>
      <sz val="11"/>
      <color theme="4"/>
      <name val="Calibri"/>
      <charset val="134"/>
    </font>
    <font>
      <i/>
      <sz val="11"/>
      <color theme="4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b/>
      <sz val="16"/>
      <color rgb="FF000000"/>
      <name val="Calibri"/>
      <charset val="134"/>
    </font>
    <font>
      <i/>
      <sz val="11"/>
      <color indexed="10"/>
      <name val="Calibri"/>
      <charset val="134"/>
    </font>
    <font>
      <i/>
      <sz val="12"/>
      <color indexed="10"/>
      <name val="Calibri"/>
      <charset val="134"/>
    </font>
    <font>
      <b/>
      <sz val="14"/>
      <color indexed="8"/>
      <name val="Calibri"/>
      <charset val="134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4"/>
      <color indexed="8"/>
      <name val="Calibri"/>
      <charset val="134"/>
    </font>
    <font>
      <sz val="11"/>
      <color indexed="2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</font>
    <font>
      <sz val="11"/>
      <color indexed="10"/>
      <name val="Calibri"/>
      <charset val="134"/>
    </font>
    <font>
      <sz val="11"/>
      <color indexed="53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179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4" borderId="10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13" applyNumberFormat="0" applyAlignment="0" applyProtection="0">
      <alignment vertical="center"/>
    </xf>
    <xf numFmtId="0" fontId="32" fillId="6" borderId="14" applyNumberFormat="0" applyAlignment="0" applyProtection="0">
      <alignment vertical="center"/>
    </xf>
    <xf numFmtId="0" fontId="33" fillId="6" borderId="13" applyNumberFormat="0" applyAlignment="0" applyProtection="0">
      <alignment vertical="center"/>
    </xf>
    <xf numFmtId="0" fontId="34" fillId="7" borderId="15" applyNumberForma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/>
    <xf numFmtId="0" fontId="2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2" fontId="6" fillId="0" borderId="0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9" fillId="0" borderId="1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horizontal="right" vertical="center" wrapText="1"/>
    </xf>
    <xf numFmtId="0" fontId="4" fillId="2" borderId="1" xfId="0" applyNumberFormat="1" applyFont="1" applyFill="1" applyBorder="1" applyAlignment="1" applyProtection="1"/>
    <xf numFmtId="0" fontId="11" fillId="0" borderId="1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horizontal="right"/>
    </xf>
    <xf numFmtId="0" fontId="6" fillId="0" borderId="1" xfId="0" applyNumberFormat="1" applyFont="1" applyFill="1" applyBorder="1" applyAlignment="1" applyProtection="1"/>
    <xf numFmtId="0" fontId="12" fillId="0" borderId="1" xfId="0" applyNumberFormat="1" applyFont="1" applyFill="1" applyBorder="1" applyAlignment="1" applyProtection="1"/>
    <xf numFmtId="0" fontId="13" fillId="0" borderId="1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2" fontId="6" fillId="0" borderId="0" xfId="0" applyNumberFormat="1" applyFont="1" applyFill="1" applyBorder="1" applyAlignment="1" applyProtection="1">
      <alignment vertical="center"/>
    </xf>
    <xf numFmtId="0" fontId="2" fillId="0" borderId="3" xfId="0" applyNumberFormat="1" applyFont="1" applyFill="1" applyBorder="1" applyAlignment="1" applyProtection="1">
      <alignment horizontal="center" vertical="center"/>
    </xf>
    <xf numFmtId="180" fontId="6" fillId="0" borderId="0" xfId="0" applyNumberFormat="1" applyFont="1" applyFill="1" applyBorder="1" applyAlignment="1" applyProtection="1"/>
    <xf numFmtId="181" fontId="6" fillId="0" borderId="0" xfId="0" applyNumberFormat="1" applyFont="1" applyFill="1" applyBorder="1" applyAlignment="1" applyProtection="1"/>
    <xf numFmtId="182" fontId="6" fillId="0" borderId="0" xfId="0" applyNumberFormat="1" applyFont="1" applyFill="1" applyBorder="1" applyAlignment="1" applyProtection="1"/>
    <xf numFmtId="0" fontId="7" fillId="0" borderId="1" xfId="0" applyNumberFormat="1" applyFont="1" applyFill="1" applyBorder="1" applyAlignment="1" applyProtection="1"/>
    <xf numFmtId="182" fontId="6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181" fontId="4" fillId="0" borderId="1" xfId="0" applyNumberFormat="1" applyFont="1" applyFill="1" applyBorder="1" applyAlignment="1" applyProtection="1"/>
    <xf numFmtId="0" fontId="15" fillId="0" borderId="1" xfId="0" applyNumberFormat="1" applyFont="1" applyFill="1" applyBorder="1" applyAlignment="1" applyProtection="1">
      <alignment horizontal="center" wrapText="1"/>
    </xf>
    <xf numFmtId="0" fontId="5" fillId="2" borderId="1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/>
    </xf>
    <xf numFmtId="0" fontId="7" fillId="0" borderId="1" xfId="0" applyNumberFormat="1" applyFont="1" applyFill="1" applyBorder="1" applyAlignment="1" applyProtection="1">
      <alignment horizontal="center"/>
    </xf>
    <xf numFmtId="0" fontId="16" fillId="0" borderId="1" xfId="0" applyNumberFormat="1" applyFont="1" applyFill="1" applyBorder="1" applyAlignment="1" applyProtection="1">
      <alignment horizontal="center" vertical="center" wrapText="1"/>
    </xf>
    <xf numFmtId="0" fontId="17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center"/>
    </xf>
    <xf numFmtId="0" fontId="2" fillId="0" borderId="4" xfId="0" applyNumberFormat="1" applyFont="1" applyFill="1" applyBorder="1" applyAlignment="1" applyProtection="1">
      <alignment horizontal="center"/>
    </xf>
    <xf numFmtId="0" fontId="3" fillId="0" borderId="5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Fill="1" applyBorder="1" applyAlignment="1" applyProtection="1">
      <alignment vertical="center" wrapText="1"/>
    </xf>
    <xf numFmtId="0" fontId="19" fillId="0" borderId="1" xfId="0" applyNumberFormat="1" applyFont="1" applyFill="1" applyBorder="1" applyAlignment="1" applyProtection="1">
      <alignment horizontal="center"/>
    </xf>
    <xf numFmtId="0" fontId="19" fillId="0" borderId="3" xfId="0" applyNumberFormat="1" applyFont="1" applyFill="1" applyBorder="1" applyAlignment="1" applyProtection="1">
      <alignment horizontal="center"/>
    </xf>
    <xf numFmtId="0" fontId="19" fillId="0" borderId="6" xfId="0" applyNumberFormat="1" applyFont="1" applyFill="1" applyBorder="1" applyAlignment="1" applyProtection="1">
      <alignment horizontal="center"/>
    </xf>
    <xf numFmtId="0" fontId="19" fillId="0" borderId="7" xfId="0" applyNumberFormat="1" applyFont="1" applyFill="1" applyBorder="1" applyAlignment="1" applyProtection="1">
      <alignment horizontal="center"/>
    </xf>
    <xf numFmtId="0" fontId="18" fillId="0" borderId="0" xfId="0" applyNumberFormat="1" applyFont="1" applyFill="1" applyBorder="1" applyAlignment="1" applyProtection="1">
      <alignment horizontal="left" vertical="center" wrapText="1"/>
    </xf>
    <xf numFmtId="0" fontId="19" fillId="0" borderId="1" xfId="0" applyNumberFormat="1" applyFont="1" applyFill="1" applyBorder="1" applyAlignment="1" applyProtection="1">
      <alignment horizontal="left"/>
    </xf>
    <xf numFmtId="0" fontId="18" fillId="0" borderId="3" xfId="0" applyNumberFormat="1" applyFont="1" applyFill="1" applyBorder="1" applyAlignment="1" applyProtection="1">
      <alignment horizontal="center"/>
    </xf>
    <xf numFmtId="0" fontId="18" fillId="0" borderId="6" xfId="0" applyNumberFormat="1" applyFont="1" applyFill="1" applyBorder="1" applyAlignment="1" applyProtection="1">
      <alignment horizontal="center"/>
    </xf>
    <xf numFmtId="0" fontId="18" fillId="0" borderId="7" xfId="0" applyNumberFormat="1" applyFont="1" applyFill="1" applyBorder="1" applyAlignment="1" applyProtection="1">
      <alignment horizontal="center"/>
    </xf>
    <xf numFmtId="0" fontId="18" fillId="0" borderId="0" xfId="0" applyNumberFormat="1" applyFont="1" applyFill="1" applyBorder="1" applyAlignment="1" applyProtection="1"/>
    <xf numFmtId="0" fontId="20" fillId="0" borderId="8" xfId="0" applyNumberFormat="1" applyFont="1" applyFill="1" applyBorder="1" applyAlignment="1" applyProtection="1"/>
    <xf numFmtId="0" fontId="7" fillId="0" borderId="9" xfId="0" applyNumberFormat="1" applyFont="1" applyFill="1" applyBorder="1" applyAlignment="1" applyProtection="1">
      <alignment horizontal="center"/>
    </xf>
    <xf numFmtId="0" fontId="18" fillId="0" borderId="1" xfId="0" applyNumberFormat="1" applyFont="1" applyFill="1" applyBorder="1" applyAlignment="1" applyProtection="1"/>
    <xf numFmtId="0" fontId="18" fillId="0" borderId="3" xfId="0" applyNumberFormat="1" applyFont="1" applyFill="1" applyBorder="1" applyAlignment="1" applyProtection="1">
      <alignment horizontal="center" vertical="center"/>
    </xf>
    <xf numFmtId="0" fontId="18" fillId="0" borderId="6" xfId="0" applyNumberFormat="1" applyFont="1" applyFill="1" applyBorder="1" applyAlignment="1" applyProtection="1">
      <alignment horizontal="center" vertical="center"/>
    </xf>
    <xf numFmtId="0" fontId="18" fillId="0" borderId="7" xfId="0" applyNumberFormat="1" applyFont="1" applyFill="1" applyBorder="1" applyAlignment="1" applyProtection="1">
      <alignment horizontal="center" vertical="center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vertical="center"/>
    </xf>
    <xf numFmtId="0" fontId="21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vertical="center"/>
    </xf>
    <xf numFmtId="0" fontId="6" fillId="3" borderId="0" xfId="0" applyNumberFormat="1" applyFont="1" applyFill="1" applyBorder="1" applyAlignment="1" applyProtection="1"/>
    <xf numFmtId="49" fontId="6" fillId="3" borderId="0" xfId="0" applyNumberFormat="1" applyFont="1" applyFill="1" applyBorder="1" applyAlignment="1" applyProtection="1"/>
    <xf numFmtId="0" fontId="0" fillId="0" borderId="0" xfId="0" applyAlignment="1">
      <alignment horizontal="center"/>
    </xf>
    <xf numFmtId="183" fontId="0" fillId="0" borderId="0" xfId="0" applyNumberFormat="1"/>
    <xf numFmtId="49" fontId="6" fillId="3" borderId="0" xfId="0" applyNumberFormat="1" applyFont="1" applyFill="1" applyBorder="1" applyAlignment="1" applyProtection="1" quotePrefix="1"/>
    <xf numFmtId="0" fontId="6" fillId="0" borderId="1" xfId="0" applyNumberFormat="1" applyFont="1" applyFill="1" applyBorder="1" applyAlignment="1" applyProtection="1" quotePrefix="1"/>
    <xf numFmtId="0" fontId="5" fillId="0" borderId="1" xfId="0" applyNumberFormat="1" applyFont="1" applyFill="1" applyBorder="1" applyAlignment="1" applyProtection="1" quotePrefix="1">
      <alignment horizontal="center"/>
    </xf>
    <xf numFmtId="0" fontId="7" fillId="0" borderId="1" xfId="0" applyNumberFormat="1" applyFont="1" applyFill="1" applyBorder="1" applyAlignment="1" applyProtection="1" quotePrefix="1"/>
    <xf numFmtId="0" fontId="2" fillId="0" borderId="0" xfId="0" applyNumberFormat="1" applyFont="1" applyFill="1" applyBorder="1" applyAlignment="1" applyProtection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14"/>
  <sheetViews>
    <sheetView workbookViewId="0">
      <selection activeCell="H17" sqref="H17"/>
    </sheetView>
  </sheetViews>
  <sheetFormatPr defaultColWidth="9" defaultRowHeight="15"/>
  <cols>
    <col min="3" max="3" width="15.8571428571429" customWidth="1"/>
    <col min="6" max="6" width="10.5714285714286" customWidth="1"/>
    <col min="11" max="12" width="9.71428571428571" customWidth="1"/>
    <col min="14" max="15" width="14" customWidth="1"/>
    <col min="20" max="20" width="14" customWidth="1"/>
  </cols>
  <sheetData>
    <row r="2" spans="2:17">
      <c r="B2" t="s">
        <v>0</v>
      </c>
      <c r="C2">
        <v>12345</v>
      </c>
      <c r="F2" t="s">
        <v>1</v>
      </c>
      <c r="G2" t="s">
        <v>2</v>
      </c>
      <c r="H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</row>
    <row r="3" spans="2:17">
      <c r="B3" t="s">
        <v>11</v>
      </c>
      <c r="C3">
        <v>26487056</v>
      </c>
      <c r="F3">
        <v>1</v>
      </c>
      <c r="G3" t="s">
        <v>12</v>
      </c>
      <c r="H3">
        <v>100</v>
      </c>
      <c r="K3">
        <v>4</v>
      </c>
      <c r="L3">
        <v>7</v>
      </c>
      <c r="M3">
        <f>K3+L3</f>
        <v>11</v>
      </c>
      <c r="N3">
        <f t="shared" ref="N3:N12" si="0">K3+L3+L$14</f>
        <v>200</v>
      </c>
      <c r="O3">
        <f>K3-L3-L$14</f>
        <v>-192</v>
      </c>
      <c r="P3">
        <f t="shared" ref="P3:P12" si="1">K3*L3*L$14</f>
        <v>5292</v>
      </c>
      <c r="Q3">
        <f>(K3+L3+L$14)/3</f>
        <v>66.6666666666667</v>
      </c>
    </row>
    <row r="4" spans="2:17">
      <c r="B4" t="s">
        <v>13</v>
      </c>
      <c r="C4">
        <f>C2/C3</f>
        <v>0.000466076713093369</v>
      </c>
      <c r="F4">
        <v>2</v>
      </c>
      <c r="G4" t="s">
        <v>14</v>
      </c>
      <c r="H4">
        <v>95</v>
      </c>
      <c r="K4">
        <v>8</v>
      </c>
      <c r="L4">
        <v>4</v>
      </c>
      <c r="M4">
        <f t="shared" ref="M4:M12" si="2">K4+L4</f>
        <v>12</v>
      </c>
      <c r="N4">
        <f t="shared" si="0"/>
        <v>201</v>
      </c>
      <c r="O4">
        <f t="shared" ref="O4:O12" si="3">K4-L4-L$14</f>
        <v>-185</v>
      </c>
      <c r="P4">
        <f t="shared" si="1"/>
        <v>6048</v>
      </c>
      <c r="Q4">
        <f t="shared" ref="Q4:Q12" si="4">(K4+L4+L$14)/3</f>
        <v>67</v>
      </c>
    </row>
    <row r="5" spans="2:17">
      <c r="B5" t="s">
        <v>13</v>
      </c>
      <c r="C5" s="76">
        <f>C2+C3</f>
        <v>26499401</v>
      </c>
      <c r="F5">
        <v>3</v>
      </c>
      <c r="G5" t="s">
        <v>15</v>
      </c>
      <c r="H5">
        <v>90</v>
      </c>
      <c r="K5">
        <v>3</v>
      </c>
      <c r="L5">
        <v>2</v>
      </c>
      <c r="M5">
        <f t="shared" si="2"/>
        <v>5</v>
      </c>
      <c r="N5">
        <f t="shared" si="0"/>
        <v>194</v>
      </c>
      <c r="O5">
        <f t="shared" si="3"/>
        <v>-188</v>
      </c>
      <c r="P5">
        <f t="shared" si="1"/>
        <v>1134</v>
      </c>
      <c r="Q5">
        <f t="shared" si="4"/>
        <v>64.6666666666667</v>
      </c>
    </row>
    <row r="6" spans="6:30">
      <c r="F6">
        <v>4</v>
      </c>
      <c r="G6" t="s">
        <v>16</v>
      </c>
      <c r="H6">
        <v>85</v>
      </c>
      <c r="K6">
        <v>14</v>
      </c>
      <c r="L6">
        <v>6</v>
      </c>
      <c r="M6">
        <f t="shared" si="2"/>
        <v>20</v>
      </c>
      <c r="N6">
        <f t="shared" si="0"/>
        <v>209</v>
      </c>
      <c r="O6">
        <f t="shared" si="3"/>
        <v>-181</v>
      </c>
      <c r="P6">
        <f t="shared" si="1"/>
        <v>15876</v>
      </c>
      <c r="Q6">
        <f t="shared" si="4"/>
        <v>69.6666666666667</v>
      </c>
      <c r="T6" t="s">
        <v>4</v>
      </c>
      <c r="U6">
        <v>4</v>
      </c>
      <c r="V6">
        <v>8</v>
      </c>
      <c r="W6">
        <v>3</v>
      </c>
      <c r="X6">
        <v>14</v>
      </c>
      <c r="Y6">
        <v>47</v>
      </c>
      <c r="Z6">
        <v>123</v>
      </c>
      <c r="AA6">
        <v>456</v>
      </c>
      <c r="AB6">
        <v>79</v>
      </c>
      <c r="AC6">
        <v>26</v>
      </c>
      <c r="AD6">
        <v>51</v>
      </c>
    </row>
    <row r="7" spans="6:30">
      <c r="F7">
        <v>5</v>
      </c>
      <c r="G7" t="s">
        <v>17</v>
      </c>
      <c r="H7">
        <v>80</v>
      </c>
      <c r="K7">
        <v>47</v>
      </c>
      <c r="L7">
        <v>8</v>
      </c>
      <c r="M7">
        <f t="shared" si="2"/>
        <v>55</v>
      </c>
      <c r="N7">
        <f t="shared" si="0"/>
        <v>244</v>
      </c>
      <c r="O7">
        <f t="shared" si="3"/>
        <v>-150</v>
      </c>
      <c r="P7">
        <f t="shared" si="1"/>
        <v>71064</v>
      </c>
      <c r="Q7">
        <f t="shared" si="4"/>
        <v>81.3333333333333</v>
      </c>
      <c r="T7" t="s">
        <v>5</v>
      </c>
      <c r="U7">
        <v>7</v>
      </c>
      <c r="V7">
        <v>4</v>
      </c>
      <c r="W7">
        <v>2</v>
      </c>
      <c r="X7">
        <v>6</v>
      </c>
      <c r="Y7">
        <v>8</v>
      </c>
      <c r="Z7">
        <v>2</v>
      </c>
      <c r="AA7">
        <v>3</v>
      </c>
      <c r="AB7">
        <v>8</v>
      </c>
      <c r="AC7">
        <v>7</v>
      </c>
      <c r="AD7">
        <v>3</v>
      </c>
    </row>
    <row r="8" spans="6:30">
      <c r="F8">
        <v>6</v>
      </c>
      <c r="G8" t="s">
        <v>18</v>
      </c>
      <c r="H8">
        <v>75</v>
      </c>
      <c r="K8">
        <v>123</v>
      </c>
      <c r="L8">
        <v>2</v>
      </c>
      <c r="M8">
        <f t="shared" si="2"/>
        <v>125</v>
      </c>
      <c r="N8">
        <f t="shared" si="0"/>
        <v>314</v>
      </c>
      <c r="O8">
        <f t="shared" si="3"/>
        <v>-68</v>
      </c>
      <c r="P8">
        <f t="shared" si="1"/>
        <v>46494</v>
      </c>
      <c r="Q8">
        <f t="shared" si="4"/>
        <v>104.666666666667</v>
      </c>
      <c r="T8" t="s">
        <v>6</v>
      </c>
      <c r="U8">
        <f>U6+U7</f>
        <v>11</v>
      </c>
      <c r="V8">
        <f t="shared" ref="V8:AD8" si="5">V6+V7</f>
        <v>12</v>
      </c>
      <c r="W8">
        <f t="shared" si="5"/>
        <v>5</v>
      </c>
      <c r="X8">
        <f t="shared" si="5"/>
        <v>20</v>
      </c>
      <c r="Y8">
        <f t="shared" si="5"/>
        <v>55</v>
      </c>
      <c r="Z8">
        <f t="shared" si="5"/>
        <v>125</v>
      </c>
      <c r="AA8">
        <f t="shared" si="5"/>
        <v>459</v>
      </c>
      <c r="AB8">
        <f t="shared" si="5"/>
        <v>87</v>
      </c>
      <c r="AC8">
        <f t="shared" si="5"/>
        <v>33</v>
      </c>
      <c r="AD8">
        <f t="shared" si="5"/>
        <v>54</v>
      </c>
    </row>
    <row r="9" spans="6:30">
      <c r="F9">
        <v>7</v>
      </c>
      <c r="G9" t="s">
        <v>19</v>
      </c>
      <c r="H9">
        <v>70</v>
      </c>
      <c r="K9">
        <v>456</v>
      </c>
      <c r="L9">
        <v>3</v>
      </c>
      <c r="M9">
        <f t="shared" si="2"/>
        <v>459</v>
      </c>
      <c r="N9">
        <f t="shared" si="0"/>
        <v>648</v>
      </c>
      <c r="O9">
        <f t="shared" si="3"/>
        <v>264</v>
      </c>
      <c r="P9">
        <f t="shared" si="1"/>
        <v>258552</v>
      </c>
      <c r="Q9">
        <f t="shared" si="4"/>
        <v>216</v>
      </c>
      <c r="T9" t="s">
        <v>7</v>
      </c>
      <c r="U9">
        <f t="shared" ref="U9:AD9" si="6">U6+U7+$U11</f>
        <v>200</v>
      </c>
      <c r="V9">
        <f t="shared" si="6"/>
        <v>201</v>
      </c>
      <c r="W9">
        <f t="shared" si="6"/>
        <v>194</v>
      </c>
      <c r="X9">
        <f t="shared" si="6"/>
        <v>209</v>
      </c>
      <c r="Y9">
        <f t="shared" si="6"/>
        <v>244</v>
      </c>
      <c r="Z9">
        <f t="shared" si="6"/>
        <v>314</v>
      </c>
      <c r="AA9">
        <f t="shared" si="6"/>
        <v>648</v>
      </c>
      <c r="AB9">
        <f t="shared" si="6"/>
        <v>276</v>
      </c>
      <c r="AC9">
        <f t="shared" si="6"/>
        <v>222</v>
      </c>
      <c r="AD9">
        <f t="shared" si="6"/>
        <v>243</v>
      </c>
    </row>
    <row r="10" spans="6:17">
      <c r="F10">
        <v>8</v>
      </c>
      <c r="G10" t="s">
        <v>20</v>
      </c>
      <c r="H10">
        <v>65</v>
      </c>
      <c r="K10">
        <v>79</v>
      </c>
      <c r="L10">
        <v>8</v>
      </c>
      <c r="M10">
        <f t="shared" si="2"/>
        <v>87</v>
      </c>
      <c r="N10">
        <f t="shared" si="0"/>
        <v>276</v>
      </c>
      <c r="O10">
        <f t="shared" si="3"/>
        <v>-118</v>
      </c>
      <c r="P10">
        <f t="shared" si="1"/>
        <v>119448</v>
      </c>
      <c r="Q10">
        <f t="shared" si="4"/>
        <v>92</v>
      </c>
    </row>
    <row r="11" spans="6:21">
      <c r="F11">
        <v>9</v>
      </c>
      <c r="G11" t="s">
        <v>21</v>
      </c>
      <c r="H11">
        <v>60</v>
      </c>
      <c r="K11">
        <v>26</v>
      </c>
      <c r="L11">
        <v>7</v>
      </c>
      <c r="M11">
        <f t="shared" si="2"/>
        <v>33</v>
      </c>
      <c r="N11">
        <f t="shared" si="0"/>
        <v>222</v>
      </c>
      <c r="O11">
        <f t="shared" si="3"/>
        <v>-170</v>
      </c>
      <c r="P11">
        <f t="shared" si="1"/>
        <v>34398</v>
      </c>
      <c r="Q11">
        <f t="shared" si="4"/>
        <v>74</v>
      </c>
      <c r="T11" t="s">
        <v>22</v>
      </c>
      <c r="U11">
        <v>189</v>
      </c>
    </row>
    <row r="12" spans="6:17">
      <c r="F12">
        <v>10</v>
      </c>
      <c r="G12" t="s">
        <v>23</v>
      </c>
      <c r="H12">
        <v>55</v>
      </c>
      <c r="K12">
        <v>51</v>
      </c>
      <c r="L12">
        <v>3</v>
      </c>
      <c r="M12">
        <f t="shared" si="2"/>
        <v>54</v>
      </c>
      <c r="N12">
        <f t="shared" si="0"/>
        <v>243</v>
      </c>
      <c r="O12">
        <f t="shared" si="3"/>
        <v>-141</v>
      </c>
      <c r="P12">
        <f t="shared" si="1"/>
        <v>28917</v>
      </c>
      <c r="Q12">
        <f t="shared" si="4"/>
        <v>81</v>
      </c>
    </row>
    <row r="14" spans="11:12">
      <c r="K14" t="s">
        <v>22</v>
      </c>
      <c r="L14">
        <v>189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3"/>
  <sheetViews>
    <sheetView workbookViewId="0">
      <selection activeCell="M13" sqref="M13"/>
    </sheetView>
  </sheetViews>
  <sheetFormatPr defaultColWidth="9" defaultRowHeight="15"/>
  <cols>
    <col min="10" max="10" width="13.5714285714286" customWidth="1"/>
    <col min="11" max="11" width="12.2857142857143" customWidth="1"/>
    <col min="12" max="12" width="15.1428571428571" customWidth="1"/>
  </cols>
  <sheetData>
    <row r="2" spans="2:12">
      <c r="B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</row>
    <row r="3" spans="2:11">
      <c r="B3" t="s">
        <v>34</v>
      </c>
      <c r="C3">
        <v>95</v>
      </c>
      <c r="D3">
        <v>83</v>
      </c>
      <c r="E3">
        <v>81</v>
      </c>
      <c r="G3">
        <f>SUM(C3,D3,E3)</f>
        <v>259</v>
      </c>
      <c r="H3">
        <f>AVERAGE(C3:E3)</f>
        <v>86.3333333333333</v>
      </c>
      <c r="I3">
        <f>_xlfn.RANK.AVG(H3,H$3:H$7,0)</f>
        <v>2</v>
      </c>
      <c r="J3">
        <f>SUMPRODUCT(C3:E3,$C$13:$E$13)</f>
        <v>378.3</v>
      </c>
      <c r="K3">
        <f ca="1">RAND()</f>
        <v>0.875362146067253</v>
      </c>
    </row>
    <row r="4" spans="2:11">
      <c r="B4" t="s">
        <v>35</v>
      </c>
      <c r="C4">
        <v>65</v>
      </c>
      <c r="D4">
        <v>53</v>
      </c>
      <c r="E4">
        <v>75</v>
      </c>
      <c r="G4">
        <f t="shared" ref="G4:G7" si="0">SUM(C4,D4,E4)</f>
        <v>193</v>
      </c>
      <c r="H4">
        <f t="shared" ref="H4:H7" si="1">AVERAGE(C4:E4)</f>
        <v>64.3333333333333</v>
      </c>
      <c r="I4">
        <f t="shared" ref="I4:I7" si="2">_xlfn.RANK.AVG(H4,H$3:H$7,0)</f>
        <v>4</v>
      </c>
      <c r="J4">
        <f>SUMPRODUCT(C4:E4,$C$13:$E$13)</f>
        <v>280.5</v>
      </c>
      <c r="K4">
        <f ca="1" t="shared" ref="K4:K7" si="3">RAND()</f>
        <v>0.572235350520869</v>
      </c>
    </row>
    <row r="5" spans="2:11">
      <c r="B5" t="s">
        <v>36</v>
      </c>
      <c r="C5">
        <v>85</v>
      </c>
      <c r="D5">
        <v>80</v>
      </c>
      <c r="E5">
        <v>90</v>
      </c>
      <c r="G5">
        <f t="shared" si="0"/>
        <v>255</v>
      </c>
      <c r="H5">
        <f t="shared" si="1"/>
        <v>85</v>
      </c>
      <c r="I5">
        <f t="shared" si="2"/>
        <v>3</v>
      </c>
      <c r="J5">
        <f>SUMPRODUCT(C5:E5,$C$13:$E$13)</f>
        <v>367</v>
      </c>
      <c r="K5">
        <f ca="1" t="shared" si="3"/>
        <v>0.714240956506559</v>
      </c>
    </row>
    <row r="6" spans="2:11">
      <c r="B6" t="s">
        <v>37</v>
      </c>
      <c r="C6">
        <v>99</v>
      </c>
      <c r="D6">
        <v>99</v>
      </c>
      <c r="E6">
        <v>85</v>
      </c>
      <c r="G6">
        <f t="shared" si="0"/>
        <v>283</v>
      </c>
      <c r="H6">
        <f t="shared" si="1"/>
        <v>94.3333333333333</v>
      </c>
      <c r="I6">
        <f t="shared" si="2"/>
        <v>1</v>
      </c>
      <c r="J6">
        <f>SUMPRODUCT(C6:E6,$C$13:$E$13)</f>
        <v>407.5</v>
      </c>
      <c r="K6">
        <f ca="1" t="shared" si="3"/>
        <v>0.572560617063127</v>
      </c>
    </row>
    <row r="7" spans="2:11">
      <c r="B7" t="s">
        <v>38</v>
      </c>
      <c r="C7">
        <v>45</v>
      </c>
      <c r="D7">
        <v>60</v>
      </c>
      <c r="E7">
        <v>55</v>
      </c>
      <c r="G7">
        <f t="shared" si="0"/>
        <v>160</v>
      </c>
      <c r="H7">
        <f t="shared" si="1"/>
        <v>53.3333333333333</v>
      </c>
      <c r="I7">
        <f t="shared" si="2"/>
        <v>5</v>
      </c>
      <c r="J7">
        <f>SUMPRODUCT(C7:E7,$C$13:$E$13)</f>
        <v>221.5</v>
      </c>
      <c r="K7">
        <f ca="1" t="shared" si="3"/>
        <v>0.815265671061044</v>
      </c>
    </row>
    <row r="8" spans="2:5">
      <c r="B8" t="s">
        <v>39</v>
      </c>
      <c r="C8">
        <f ca="1">RANDBETWEEN(40,100)</f>
        <v>62</v>
      </c>
      <c r="D8">
        <f ca="1" t="shared" ref="D8:E8" si="4">RANDBETWEEN(40,100)</f>
        <v>95</v>
      </c>
      <c r="E8">
        <f ca="1" t="shared" si="4"/>
        <v>71</v>
      </c>
    </row>
    <row r="10" spans="2:5">
      <c r="B10" t="s">
        <v>40</v>
      </c>
      <c r="C10">
        <f>MIN(C3:C7)</f>
        <v>45</v>
      </c>
      <c r="D10">
        <f>MIN(D3:D7)</f>
        <v>53</v>
      </c>
      <c r="E10">
        <f>MIN(E3:E7)</f>
        <v>55</v>
      </c>
    </row>
    <row r="11" spans="2:5">
      <c r="B11" t="s">
        <v>41</v>
      </c>
      <c r="C11">
        <f ca="1">MAX(C3:C10)</f>
        <v>99</v>
      </c>
      <c r="D11">
        <f ca="1">MAX(D3:D10)</f>
        <v>99</v>
      </c>
      <c r="E11">
        <f ca="1">MAX(E3:E10)</f>
        <v>90</v>
      </c>
    </row>
    <row r="13" spans="2:5">
      <c r="B13" t="s">
        <v>42</v>
      </c>
      <c r="C13">
        <v>2</v>
      </c>
      <c r="D13">
        <v>1</v>
      </c>
      <c r="E13">
        <v>1.3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57"/>
  <sheetViews>
    <sheetView topLeftCell="A37" workbookViewId="0">
      <selection activeCell="I22" sqref="I22"/>
    </sheetView>
  </sheetViews>
  <sheetFormatPr defaultColWidth="9" defaultRowHeight="15"/>
  <cols>
    <col min="2" max="2" width="14.7142857142857" customWidth="1"/>
    <col min="3" max="3" width="11.4285714285714" customWidth="1"/>
    <col min="4" max="4" width="9.71428571428571" customWidth="1"/>
    <col min="5" max="5" width="32.5714285714286" customWidth="1"/>
    <col min="6" max="6" width="5.42857142857143" customWidth="1"/>
    <col min="9" max="9" width="49.4285714285714" customWidth="1"/>
    <col min="11" max="11" width="35.8571428571429" customWidth="1"/>
    <col min="13" max="13" width="9.28571428571429" customWidth="1"/>
  </cols>
  <sheetData>
    <row r="2" ht="21" spans="2:2">
      <c r="B2" s="1" t="s">
        <v>43</v>
      </c>
    </row>
    <row r="3" spans="1:6">
      <c r="A3" s="52"/>
      <c r="B3" s="53" t="s">
        <v>44</v>
      </c>
      <c r="C3" s="53" t="s">
        <v>45</v>
      </c>
      <c r="D3" s="54" t="s">
        <v>46</v>
      </c>
      <c r="E3" s="55"/>
      <c r="F3" s="56"/>
    </row>
    <row r="4" spans="1:6">
      <c r="A4" s="57"/>
      <c r="B4" s="58" t="s">
        <v>47</v>
      </c>
      <c r="C4" s="58" t="str">
        <f>TRIM(B4)</f>
        <v>Student 1</v>
      </c>
      <c r="D4" s="59" t="s">
        <v>48</v>
      </c>
      <c r="E4" s="60"/>
      <c r="F4" s="61"/>
    </row>
    <row r="5" spans="1:6">
      <c r="A5" s="62"/>
      <c r="B5" s="58" t="s">
        <v>49</v>
      </c>
      <c r="C5" s="58" t="str">
        <f t="shared" ref="C5:C6" si="0">TRIM(B5)</f>
        <v>Student 2</v>
      </c>
      <c r="D5" s="59" t="s">
        <v>50</v>
      </c>
      <c r="E5" s="60"/>
      <c r="F5" s="61"/>
    </row>
    <row r="6" spans="1:6">
      <c r="A6" s="62"/>
      <c r="B6" s="58" t="s">
        <v>51</v>
      </c>
      <c r="C6" s="58" t="str">
        <f t="shared" si="0"/>
        <v>Student 3</v>
      </c>
      <c r="D6" s="59" t="s">
        <v>52</v>
      </c>
      <c r="E6" s="60"/>
      <c r="F6" s="61"/>
    </row>
    <row r="7" ht="18.75" spans="1:6">
      <c r="A7" s="62"/>
      <c r="B7" s="63"/>
      <c r="C7" s="63"/>
      <c r="D7" s="63"/>
      <c r="E7" s="63"/>
      <c r="F7" s="62"/>
    </row>
    <row r="10" ht="21" spans="2:2">
      <c r="B10" s="1" t="s">
        <v>53</v>
      </c>
    </row>
    <row r="11" spans="2:11">
      <c r="B11" s="53" t="s">
        <v>24</v>
      </c>
      <c r="C11" s="53" t="s">
        <v>25</v>
      </c>
      <c r="D11" s="53" t="s">
        <v>26</v>
      </c>
      <c r="E11" s="53" t="s">
        <v>27</v>
      </c>
      <c r="F11" s="64"/>
      <c r="H11" s="6"/>
      <c r="I11" s="73" t="s">
        <v>54</v>
      </c>
      <c r="J11" s="6"/>
      <c r="K11" s="77" t="s">
        <v>55</v>
      </c>
    </row>
    <row r="12" spans="2:11">
      <c r="B12" s="65" t="s">
        <v>34</v>
      </c>
      <c r="C12" s="65">
        <v>95</v>
      </c>
      <c r="D12" s="65">
        <v>83</v>
      </c>
      <c r="E12" s="65">
        <v>81</v>
      </c>
      <c r="H12" s="43" t="s">
        <v>24</v>
      </c>
      <c r="I12" s="43" t="s">
        <v>25</v>
      </c>
      <c r="J12" s="43" t="s">
        <v>26</v>
      </c>
      <c r="K12" s="43" t="s">
        <v>27</v>
      </c>
    </row>
    <row r="13" spans="2:11">
      <c r="B13" s="65" t="s">
        <v>35</v>
      </c>
      <c r="C13" s="65">
        <v>65</v>
      </c>
      <c r="D13" s="65">
        <v>53</v>
      </c>
      <c r="E13" s="65">
        <v>75</v>
      </c>
      <c r="H13" s="20" t="s">
        <v>34</v>
      </c>
      <c r="I13" s="78" t="str">
        <f>CONCATENATE(H13," has scored ",C12," in Maths")</f>
        <v>Student 1 has scored 95 in Maths</v>
      </c>
      <c r="J13" s="20"/>
      <c r="K13" s="78" t="str">
        <f>H13&amp;" has scored "&amp;E12&amp;" in English"</f>
        <v>Student 1 has scored 81 in English</v>
      </c>
    </row>
    <row r="14" spans="2:13">
      <c r="B14" s="65" t="s">
        <v>36</v>
      </c>
      <c r="C14" s="65">
        <v>85</v>
      </c>
      <c r="D14" s="65">
        <v>80</v>
      </c>
      <c r="E14" s="65">
        <v>90</v>
      </c>
      <c r="H14" s="20" t="s">
        <v>35</v>
      </c>
      <c r="I14" s="78" t="str">
        <f t="shared" ref="I14:I17" si="1">CONCATENATE(H14," has scored ",C13," in Maths")</f>
        <v>Student 2 has scored 65 in Maths</v>
      </c>
      <c r="J14" s="20"/>
      <c r="K14" s="78" t="str">
        <f t="shared" ref="K14:K17" si="2">H14&amp;" has scored "&amp;E13&amp;" in English"</f>
        <v>Student 2 has scored 75 in English</v>
      </c>
      <c r="M14" s="75"/>
    </row>
    <row r="15" spans="2:11">
      <c r="B15" s="65" t="s">
        <v>37</v>
      </c>
      <c r="C15" s="65">
        <v>99</v>
      </c>
      <c r="D15" s="65">
        <v>99</v>
      </c>
      <c r="E15" s="65">
        <v>85</v>
      </c>
      <c r="H15" s="20" t="s">
        <v>36</v>
      </c>
      <c r="I15" s="78" t="str">
        <f t="shared" si="1"/>
        <v>Student 3 has scored 85 in Maths</v>
      </c>
      <c r="J15" s="20"/>
      <c r="K15" s="78" t="str">
        <f t="shared" si="2"/>
        <v>Student 3 has scored 90 in English</v>
      </c>
    </row>
    <row r="16" spans="2:11">
      <c r="B16" s="65" t="s">
        <v>38</v>
      </c>
      <c r="C16" s="65">
        <v>45</v>
      </c>
      <c r="D16" s="65">
        <v>60</v>
      </c>
      <c r="E16" s="65">
        <v>55</v>
      </c>
      <c r="H16" s="20" t="s">
        <v>37</v>
      </c>
      <c r="I16" s="78" t="str">
        <f t="shared" si="1"/>
        <v>Student 4 has scored 99 in Maths</v>
      </c>
      <c r="J16" s="20"/>
      <c r="K16" s="78" t="str">
        <f t="shared" si="2"/>
        <v>Student 4 has scored 85 in English</v>
      </c>
    </row>
    <row r="17" spans="8:11">
      <c r="H17" s="20" t="s">
        <v>38</v>
      </c>
      <c r="I17" s="78" t="str">
        <f t="shared" si="1"/>
        <v>Student 5 has scored 45 in Maths</v>
      </c>
      <c r="J17" s="20"/>
      <c r="K17" s="78" t="str">
        <f t="shared" si="2"/>
        <v>Student 5 has scored 55 in English</v>
      </c>
    </row>
    <row r="18" spans="2:2">
      <c r="B18" t="str">
        <f>CONCATENATE(C11,D11,E11)</f>
        <v>MathsScienceEnglish</v>
      </c>
    </row>
    <row r="22" ht="21" spans="2:2">
      <c r="B22" s="1" t="s">
        <v>56</v>
      </c>
    </row>
    <row r="23" spans="2:9">
      <c r="B23" s="54" t="s">
        <v>44</v>
      </c>
      <c r="C23" s="55"/>
      <c r="D23" s="56"/>
      <c r="E23" s="54" t="s">
        <v>45</v>
      </c>
      <c r="F23" s="56"/>
      <c r="G23" s="54" t="s">
        <v>46</v>
      </c>
      <c r="H23" s="55"/>
      <c r="I23" s="56"/>
    </row>
    <row r="24" spans="2:9">
      <c r="B24" s="66" t="s">
        <v>57</v>
      </c>
      <c r="C24" s="67"/>
      <c r="D24" s="68"/>
      <c r="E24" s="69" t="str">
        <f>SUBSTITUTE(B24,"b","d")</f>
        <v>Student</v>
      </c>
      <c r="F24" s="68"/>
      <c r="G24" s="59" t="s">
        <v>58</v>
      </c>
      <c r="H24" s="60"/>
      <c r="I24" s="61"/>
    </row>
    <row r="25" spans="2:9">
      <c r="B25" s="66" t="s">
        <v>59</v>
      </c>
      <c r="C25" s="67"/>
      <c r="D25" s="68"/>
      <c r="E25" s="69" t="str">
        <f t="shared" ref="E25:E26" si="3">SUBSTITUTE(B25,"b","d")</f>
        <v>Student 1 scored 38 marks in Science</v>
      </c>
      <c r="F25" s="68"/>
      <c r="G25" s="59" t="s">
        <v>60</v>
      </c>
      <c r="H25" s="60"/>
      <c r="I25" s="61"/>
    </row>
    <row r="26" spans="2:9">
      <c r="B26" s="66" t="s">
        <v>61</v>
      </c>
      <c r="C26" s="67"/>
      <c r="D26" s="68"/>
      <c r="E26" s="69" t="str">
        <f t="shared" si="3"/>
        <v>Student 1 scored 85 marks in Science</v>
      </c>
      <c r="F26" s="68"/>
      <c r="G26" s="59" t="s">
        <v>62</v>
      </c>
      <c r="H26" s="60"/>
      <c r="I26" s="61"/>
    </row>
    <row r="30" ht="21" spans="2:2">
      <c r="B30" s="1" t="s">
        <v>63</v>
      </c>
    </row>
    <row r="31" ht="15.75" spans="2:4">
      <c r="B31" s="2" t="s">
        <v>24</v>
      </c>
      <c r="C31" s="2" t="s">
        <v>64</v>
      </c>
      <c r="D31" s="2" t="s">
        <v>65</v>
      </c>
    </row>
    <row r="32" ht="15.75" spans="2:4">
      <c r="B32" s="4" t="s">
        <v>34</v>
      </c>
      <c r="C32" s="4" t="str">
        <f>UPPER(B32)</f>
        <v>STUDENT 1</v>
      </c>
      <c r="D32" s="4" t="str">
        <f>LOWER(B32)</f>
        <v>student 1</v>
      </c>
    </row>
    <row r="33" ht="15.75" spans="2:4">
      <c r="B33" s="4" t="s">
        <v>35</v>
      </c>
      <c r="C33" s="4" t="str">
        <f t="shared" ref="C33:C36" si="4">UPPER(B33)</f>
        <v>STUDENT 2</v>
      </c>
      <c r="D33" s="4" t="str">
        <f t="shared" ref="D33:D36" si="5">LOWER(B33)</f>
        <v>student 2</v>
      </c>
    </row>
    <row r="34" ht="15.75" spans="2:4">
      <c r="B34" s="4" t="s">
        <v>36</v>
      </c>
      <c r="C34" s="4" t="str">
        <f t="shared" si="4"/>
        <v>STUDENT 3</v>
      </c>
      <c r="D34" s="4" t="str">
        <f t="shared" si="5"/>
        <v>student 3</v>
      </c>
    </row>
    <row r="35" ht="15.75" spans="2:4">
      <c r="B35" s="4" t="s">
        <v>37</v>
      </c>
      <c r="C35" s="4" t="str">
        <f t="shared" si="4"/>
        <v>STUDENT 4</v>
      </c>
      <c r="D35" s="4" t="str">
        <f t="shared" si="5"/>
        <v>student 4</v>
      </c>
    </row>
    <row r="36" ht="15.75" spans="2:4">
      <c r="B36" s="4" t="s">
        <v>38</v>
      </c>
      <c r="C36" s="4" t="str">
        <f t="shared" si="4"/>
        <v>STUDENT 5</v>
      </c>
      <c r="D36" s="4" t="str">
        <f t="shared" si="5"/>
        <v>student 5</v>
      </c>
    </row>
    <row r="40" ht="21" spans="2:2">
      <c r="B40" s="1" t="s">
        <v>66</v>
      </c>
    </row>
    <row r="41" spans="2:3">
      <c r="B41" s="43" t="s">
        <v>24</v>
      </c>
      <c r="C41" s="43" t="s">
        <v>67</v>
      </c>
    </row>
    <row r="42" spans="2:3">
      <c r="B42" s="20" t="s">
        <v>34</v>
      </c>
      <c r="C42" s="20">
        <f>LEN(B42)</f>
        <v>9</v>
      </c>
    </row>
    <row r="43" spans="2:3">
      <c r="B43" s="20" t="s">
        <v>68</v>
      </c>
      <c r="C43" s="20">
        <f t="shared" ref="C43:C46" si="6">LEN(B43)</f>
        <v>11</v>
      </c>
    </row>
    <row r="44" spans="2:3">
      <c r="B44" s="20" t="s">
        <v>69</v>
      </c>
      <c r="C44" s="20">
        <f t="shared" si="6"/>
        <v>13</v>
      </c>
    </row>
    <row r="45" spans="2:3">
      <c r="B45" s="20" t="s">
        <v>70</v>
      </c>
      <c r="C45" s="20">
        <f t="shared" si="6"/>
        <v>12</v>
      </c>
    </row>
    <row r="46" spans="2:3">
      <c r="B46" s="20" t="s">
        <v>71</v>
      </c>
      <c r="C46" s="20">
        <f t="shared" si="6"/>
        <v>12</v>
      </c>
    </row>
    <row r="50" ht="21" spans="2:2">
      <c r="B50" s="1" t="s">
        <v>72</v>
      </c>
    </row>
    <row r="51" spans="2:5">
      <c r="B51" s="70" t="s">
        <v>73</v>
      </c>
      <c r="C51" s="70" t="s">
        <v>74</v>
      </c>
      <c r="D51" s="70" t="s">
        <v>75</v>
      </c>
      <c r="E51" s="70" t="s">
        <v>76</v>
      </c>
    </row>
    <row r="52" spans="2:5">
      <c r="B52" s="71" t="s">
        <v>77</v>
      </c>
      <c r="C52" s="72" t="str">
        <f>LEFT(B52,4)</f>
        <v>2018</v>
      </c>
      <c r="D52" s="72" t="str">
        <f>MID(B52,5,5)</f>
        <v>abcde</v>
      </c>
      <c r="E52" s="72" t="str">
        <f>RIGHT(B52,2)</f>
        <v>43</v>
      </c>
    </row>
    <row r="53" spans="2:5">
      <c r="B53" s="72" t="s">
        <v>78</v>
      </c>
      <c r="C53" s="72" t="str">
        <f t="shared" ref="C53:C57" si="7">LEFT(B53,4)</f>
        <v>2018</v>
      </c>
      <c r="D53" s="72" t="str">
        <f t="shared" ref="D53:D57" si="8">MID(B53,5,5)</f>
        <v>werty</v>
      </c>
      <c r="E53" s="72" t="str">
        <f t="shared" ref="E53:E57" si="9">RIGHT(B53,2)</f>
        <v>44</v>
      </c>
    </row>
    <row r="54" spans="2:5">
      <c r="B54" s="72" t="s">
        <v>79</v>
      </c>
      <c r="C54" s="72" t="str">
        <f t="shared" si="7"/>
        <v>2018</v>
      </c>
      <c r="D54" s="72" t="str">
        <f t="shared" si="8"/>
        <v>cvbnm</v>
      </c>
      <c r="E54" s="72" t="str">
        <f t="shared" si="9"/>
        <v>43</v>
      </c>
    </row>
    <row r="55" spans="2:5">
      <c r="B55" s="72" t="s">
        <v>80</v>
      </c>
      <c r="C55" s="72" t="str">
        <f t="shared" si="7"/>
        <v>2017</v>
      </c>
      <c r="D55" s="72" t="str">
        <f t="shared" si="8"/>
        <v>start</v>
      </c>
      <c r="E55" s="72" t="str">
        <f t="shared" si="9"/>
        <v>45</v>
      </c>
    </row>
    <row r="56" spans="2:5">
      <c r="B56" s="72" t="s">
        <v>81</v>
      </c>
      <c r="C56" s="72" t="str">
        <f t="shared" si="7"/>
        <v>2018</v>
      </c>
      <c r="D56" s="72" t="str">
        <f t="shared" si="8"/>
        <v>techa</v>
      </c>
      <c r="E56" s="72" t="str">
        <f t="shared" si="9"/>
        <v>44</v>
      </c>
    </row>
    <row r="57" spans="2:5">
      <c r="B57" s="72" t="s">
        <v>82</v>
      </c>
      <c r="C57" s="72" t="str">
        <f t="shared" si="7"/>
        <v>2016</v>
      </c>
      <c r="D57" s="72" t="str">
        <f t="shared" si="8"/>
        <v>acade</v>
      </c>
      <c r="E57" s="72" t="str">
        <f t="shared" si="9"/>
        <v>43</v>
      </c>
    </row>
  </sheetData>
  <mergeCells count="16">
    <mergeCell ref="D3:F3"/>
    <mergeCell ref="D4:F4"/>
    <mergeCell ref="D5:F5"/>
    <mergeCell ref="D6:F6"/>
    <mergeCell ref="B23:D23"/>
    <mergeCell ref="E23:F23"/>
    <mergeCell ref="G23:I23"/>
    <mergeCell ref="B24:D24"/>
    <mergeCell ref="E24:F24"/>
    <mergeCell ref="G24:I24"/>
    <mergeCell ref="B25:D25"/>
    <mergeCell ref="E25:F25"/>
    <mergeCell ref="G25:I25"/>
    <mergeCell ref="B26:D26"/>
    <mergeCell ref="E26:F26"/>
    <mergeCell ref="G26:I26"/>
  </mergeCells>
  <pageMargins left="0.7" right="0.7" top="0.75" bottom="0.75" header="0.3" footer="0.3"/>
  <pageSetup paperSize="1" orientation="portrait" horizontalDpi="90" verticalDpi="9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45"/>
  <sheetViews>
    <sheetView tabSelected="1" topLeftCell="A25" workbookViewId="0">
      <selection activeCell="K8" sqref="K8"/>
    </sheetView>
  </sheetViews>
  <sheetFormatPr defaultColWidth="9" defaultRowHeight="15"/>
  <cols>
    <col min="6" max="6" width="16.8571428571429" customWidth="1"/>
    <col min="7" max="7" width="14.8571428571429" customWidth="1"/>
    <col min="8" max="8" width="14.4285714285714" customWidth="1"/>
    <col min="12" max="12" width="7.14285714285714" customWidth="1"/>
    <col min="15" max="15" width="28.2857142857143" customWidth="1"/>
    <col min="16" max="16" width="22.5714285714286" customWidth="1"/>
  </cols>
  <sheetData>
    <row r="2" ht="21" spans="2:2">
      <c r="B2" s="1" t="s">
        <v>83</v>
      </c>
    </row>
    <row r="3" ht="30" spans="2:8">
      <c r="B3" s="6"/>
      <c r="C3" s="6"/>
      <c r="D3" s="6"/>
      <c r="E3" s="6"/>
      <c r="F3" s="39" t="s">
        <v>84</v>
      </c>
      <c r="G3" s="39" t="s">
        <v>85</v>
      </c>
      <c r="H3" s="39" t="s">
        <v>86</v>
      </c>
    </row>
    <row r="4" ht="15.75" spans="2:8">
      <c r="B4" s="2" t="s">
        <v>24</v>
      </c>
      <c r="C4" s="2" t="s">
        <v>25</v>
      </c>
      <c r="D4" s="2" t="s">
        <v>26</v>
      </c>
      <c r="E4" s="2" t="s">
        <v>27</v>
      </c>
      <c r="F4" s="3" t="s">
        <v>87</v>
      </c>
      <c r="G4" s="3" t="s">
        <v>88</v>
      </c>
      <c r="H4" s="3" t="s">
        <v>89</v>
      </c>
    </row>
    <row r="5" ht="15.75" spans="2:8">
      <c r="B5" s="4" t="s">
        <v>34</v>
      </c>
      <c r="C5" s="4">
        <v>99</v>
      </c>
      <c r="D5" s="4">
        <v>83</v>
      </c>
      <c r="E5" s="4">
        <v>85</v>
      </c>
      <c r="F5" s="5" t="b">
        <f>C5=100</f>
        <v>0</v>
      </c>
      <c r="G5" s="40" t="b">
        <f>AND(C5&gt;75,D5&gt;75,E5&gt;75)</f>
        <v>1</v>
      </c>
      <c r="H5" s="5" t="b">
        <f>OR(C5&lt;35,D5&lt;35,E5&lt;35)</f>
        <v>0</v>
      </c>
    </row>
    <row r="6" ht="15.75" spans="2:8">
      <c r="B6" s="4" t="s">
        <v>35</v>
      </c>
      <c r="C6" s="4">
        <v>65</v>
      </c>
      <c r="D6" s="4">
        <v>53</v>
      </c>
      <c r="E6" s="4">
        <v>43</v>
      </c>
      <c r="F6" s="5" t="b">
        <f t="shared" ref="F6:F9" si="0">C6=100</f>
        <v>0</v>
      </c>
      <c r="G6" s="40" t="b">
        <f t="shared" ref="G6:G9" si="1">AND(C6&gt;75,D6&gt;75,E6&gt;75)</f>
        <v>0</v>
      </c>
      <c r="H6" s="5" t="b">
        <f t="shared" ref="H6:H9" si="2">OR(C6&lt;35,D6&lt;35,E6&lt;35)</f>
        <v>0</v>
      </c>
    </row>
    <row r="7" ht="15.75" spans="2:8">
      <c r="B7" s="4" t="s">
        <v>36</v>
      </c>
      <c r="C7" s="4">
        <v>85</v>
      </c>
      <c r="D7" s="4">
        <v>80</v>
      </c>
      <c r="E7" s="4">
        <v>79</v>
      </c>
      <c r="F7" s="5" t="b">
        <f t="shared" si="0"/>
        <v>0</v>
      </c>
      <c r="G7" s="40" t="b">
        <f t="shared" si="1"/>
        <v>1</v>
      </c>
      <c r="H7" s="5" t="b">
        <f t="shared" si="2"/>
        <v>0</v>
      </c>
    </row>
    <row r="8" ht="15.75" spans="2:8">
      <c r="B8" s="4" t="s">
        <v>37</v>
      </c>
      <c r="C8" s="4">
        <v>100</v>
      </c>
      <c r="D8" s="4">
        <v>99</v>
      </c>
      <c r="E8" s="4">
        <v>82</v>
      </c>
      <c r="F8" s="5" t="b">
        <f t="shared" si="0"/>
        <v>1</v>
      </c>
      <c r="G8" s="40" t="b">
        <f t="shared" si="1"/>
        <v>1</v>
      </c>
      <c r="H8" s="5" t="b">
        <f t="shared" si="2"/>
        <v>0</v>
      </c>
    </row>
    <row r="9" ht="15.75" spans="2:8">
      <c r="B9" s="4" t="s">
        <v>38</v>
      </c>
      <c r="C9" s="4">
        <v>45</v>
      </c>
      <c r="D9" s="4">
        <v>60</v>
      </c>
      <c r="E9" s="4">
        <v>30</v>
      </c>
      <c r="F9" s="5" t="b">
        <f t="shared" si="0"/>
        <v>0</v>
      </c>
      <c r="G9" s="40" t="b">
        <f t="shared" si="1"/>
        <v>0</v>
      </c>
      <c r="H9" s="5" t="b">
        <f t="shared" si="2"/>
        <v>1</v>
      </c>
    </row>
    <row r="13" ht="21" spans="2:2">
      <c r="B13" s="1" t="s">
        <v>90</v>
      </c>
    </row>
    <row r="14" ht="45" spans="2:17">
      <c r="B14" s="6"/>
      <c r="C14" s="6"/>
      <c r="D14" s="6"/>
      <c r="E14" s="6"/>
      <c r="F14" s="39" t="s">
        <v>91</v>
      </c>
      <c r="G14" s="39" t="s">
        <v>92</v>
      </c>
      <c r="H14" s="39" t="s">
        <v>92</v>
      </c>
      <c r="K14" s="6"/>
      <c r="L14" s="6"/>
      <c r="M14" s="6"/>
      <c r="N14" s="6"/>
      <c r="O14" s="39" t="s">
        <v>93</v>
      </c>
      <c r="P14" s="44" t="s">
        <v>94</v>
      </c>
      <c r="Q14" s="6"/>
    </row>
    <row r="15" ht="15.75" spans="2:17">
      <c r="B15" s="2" t="s">
        <v>24</v>
      </c>
      <c r="C15" s="2" t="s">
        <v>25</v>
      </c>
      <c r="D15" s="2" t="s">
        <v>26</v>
      </c>
      <c r="E15" s="2" t="s">
        <v>27</v>
      </c>
      <c r="F15" s="3" t="s">
        <v>95</v>
      </c>
      <c r="G15" s="3" t="s">
        <v>96</v>
      </c>
      <c r="H15" s="3" t="s">
        <v>97</v>
      </c>
      <c r="K15" s="24" t="s">
        <v>24</v>
      </c>
      <c r="L15" s="24" t="s">
        <v>25</v>
      </c>
      <c r="M15" s="24" t="s">
        <v>26</v>
      </c>
      <c r="N15" s="24" t="s">
        <v>27</v>
      </c>
      <c r="O15" s="25" t="s">
        <v>88</v>
      </c>
      <c r="P15" s="25" t="s">
        <v>89</v>
      </c>
      <c r="Q15" s="6"/>
    </row>
    <row r="16" ht="15.75" spans="2:17">
      <c r="B16" s="4" t="s">
        <v>34</v>
      </c>
      <c r="C16" s="4">
        <v>99</v>
      </c>
      <c r="D16" s="4">
        <v>83</v>
      </c>
      <c r="E16" s="4">
        <v>85</v>
      </c>
      <c r="F16" s="79" t="str">
        <f>IF(C16&gt;=75,"A","B")</f>
        <v>A</v>
      </c>
      <c r="G16" s="41" t="str">
        <f>IF(D16&gt;=85,"A",IF(D16&gt;=60,"B",IF(D16&lt;60,"C")))</f>
        <v>B</v>
      </c>
      <c r="H16" s="41" t="str">
        <f>IF(E16&gt;=85,"A",IF(E16&gt;=60,"B",IF(E16&lt;60,"C")))</f>
        <v>A</v>
      </c>
      <c r="K16" s="26" t="s">
        <v>34</v>
      </c>
      <c r="L16" s="26">
        <v>99</v>
      </c>
      <c r="M16" s="26">
        <v>83</v>
      </c>
      <c r="N16" s="26">
        <v>85</v>
      </c>
      <c r="O16" s="27" t="str">
        <f>IF(AND(N16&gt;75,M16&gt;75,L16&gt;75),"Passed with Distinction","Did not Pass with Distinction")</f>
        <v>Passed with Distinction</v>
      </c>
      <c r="P16" s="27" t="str">
        <f>IF(OR(N16&lt;35,M16&lt;35,L16&lt;35),"Failed","Promoted to Next Class")</f>
        <v>Promoted to Next Class</v>
      </c>
      <c r="Q16" s="6"/>
    </row>
    <row r="17" ht="15.75" spans="2:17">
      <c r="B17" s="4" t="s">
        <v>35</v>
      </c>
      <c r="C17" s="4">
        <v>65</v>
      </c>
      <c r="D17" s="4">
        <v>53</v>
      </c>
      <c r="E17" s="4">
        <v>43</v>
      </c>
      <c r="F17" s="79" t="str">
        <f t="shared" ref="F17:F20" si="3">IF(C17&gt;=75,"A","B")</f>
        <v>B</v>
      </c>
      <c r="G17" s="41" t="str">
        <f t="shared" ref="G17:G20" si="4">IF(D17&gt;=85,"A",IF(D17&gt;=60,"B",IF(D17&lt;60,"C")))</f>
        <v>C</v>
      </c>
      <c r="H17" s="41" t="str">
        <f t="shared" ref="H17:H20" si="5">IF(E17&gt;=85,"A",IF(E17&gt;=60,"B",IF(E17&lt;60,"C")))</f>
        <v>C</v>
      </c>
      <c r="K17" s="26" t="s">
        <v>35</v>
      </c>
      <c r="L17" s="26">
        <v>65</v>
      </c>
      <c r="M17" s="26">
        <v>53</v>
      </c>
      <c r="N17" s="26">
        <v>43</v>
      </c>
      <c r="O17" s="27" t="str">
        <f t="shared" ref="O17:O20" si="6">IF(AND(N17&gt;75,M17&gt;75,L17&gt;75),"Passed with Distinction","Did not Pass with Distinction")</f>
        <v>Did not Pass with Distinction</v>
      </c>
      <c r="P17" s="27" t="str">
        <f t="shared" ref="P17:P20" si="7">IF(OR(N17&lt;35,M17&lt;35,L17&lt;35),"Failed","Promoted to Next Class")</f>
        <v>Promoted to Next Class</v>
      </c>
      <c r="Q17" s="6"/>
    </row>
    <row r="18" ht="15.75" spans="2:17">
      <c r="B18" s="4" t="s">
        <v>36</v>
      </c>
      <c r="C18" s="4">
        <v>85</v>
      </c>
      <c r="D18" s="4">
        <v>80</v>
      </c>
      <c r="E18" s="4">
        <v>79</v>
      </c>
      <c r="F18" s="79" t="str">
        <f t="shared" si="3"/>
        <v>A</v>
      </c>
      <c r="G18" s="41" t="str">
        <f t="shared" si="4"/>
        <v>B</v>
      </c>
      <c r="H18" s="41" t="str">
        <f t="shared" si="5"/>
        <v>B</v>
      </c>
      <c r="K18" s="26" t="s">
        <v>36</v>
      </c>
      <c r="L18" s="26">
        <v>85</v>
      </c>
      <c r="M18" s="26">
        <v>80</v>
      </c>
      <c r="N18" s="26">
        <v>79</v>
      </c>
      <c r="O18" s="27" t="str">
        <f t="shared" si="6"/>
        <v>Passed with Distinction</v>
      </c>
      <c r="P18" s="27" t="str">
        <f t="shared" si="7"/>
        <v>Promoted to Next Class</v>
      </c>
      <c r="Q18" s="6"/>
    </row>
    <row r="19" ht="15.75" spans="2:17">
      <c r="B19" s="4" t="s">
        <v>37</v>
      </c>
      <c r="C19" s="4">
        <v>100</v>
      </c>
      <c r="D19" s="4">
        <v>99</v>
      </c>
      <c r="E19" s="4">
        <v>82</v>
      </c>
      <c r="F19" s="79" t="str">
        <f t="shared" si="3"/>
        <v>A</v>
      </c>
      <c r="G19" s="41" t="str">
        <f t="shared" si="4"/>
        <v>A</v>
      </c>
      <c r="H19" s="41" t="str">
        <f t="shared" si="5"/>
        <v>B</v>
      </c>
      <c r="K19" s="26" t="s">
        <v>37</v>
      </c>
      <c r="L19" s="26">
        <v>100</v>
      </c>
      <c r="M19" s="26">
        <v>99</v>
      </c>
      <c r="N19" s="26">
        <v>82</v>
      </c>
      <c r="O19" s="27" t="str">
        <f t="shared" si="6"/>
        <v>Passed with Distinction</v>
      </c>
      <c r="P19" s="27" t="str">
        <f t="shared" si="7"/>
        <v>Promoted to Next Class</v>
      </c>
      <c r="Q19" s="6"/>
    </row>
    <row r="20" ht="15.75" spans="2:17">
      <c r="B20" s="4" t="s">
        <v>38</v>
      </c>
      <c r="C20" s="4">
        <v>45</v>
      </c>
      <c r="D20" s="4">
        <v>60</v>
      </c>
      <c r="E20" s="4">
        <v>30</v>
      </c>
      <c r="F20" s="79" t="str">
        <f t="shared" si="3"/>
        <v>B</v>
      </c>
      <c r="G20" s="41" t="str">
        <f t="shared" si="4"/>
        <v>B</v>
      </c>
      <c r="H20" s="41" t="str">
        <f t="shared" si="5"/>
        <v>C</v>
      </c>
      <c r="K20" s="26" t="s">
        <v>38</v>
      </c>
      <c r="L20" s="26">
        <v>45</v>
      </c>
      <c r="M20" s="26">
        <v>60</v>
      </c>
      <c r="N20" s="26">
        <v>30</v>
      </c>
      <c r="O20" s="27" t="str">
        <f t="shared" si="6"/>
        <v>Did not Pass with Distinction</v>
      </c>
      <c r="P20" s="27" t="str">
        <f t="shared" si="7"/>
        <v>Failed</v>
      </c>
      <c r="Q20" s="6"/>
    </row>
    <row r="21" spans="2:8">
      <c r="B21" s="6"/>
      <c r="C21" s="6"/>
      <c r="D21" s="6"/>
      <c r="E21" s="6"/>
      <c r="F21" s="6"/>
      <c r="G21" s="6"/>
      <c r="H21" s="6"/>
    </row>
    <row r="22" spans="2:8">
      <c r="B22" s="6"/>
      <c r="C22" s="6"/>
      <c r="D22" s="6"/>
      <c r="E22" s="6"/>
      <c r="F22" s="6"/>
      <c r="G22" s="6"/>
      <c r="H22" s="6"/>
    </row>
    <row r="24" ht="21" spans="2:2">
      <c r="B24" s="1" t="s">
        <v>98</v>
      </c>
    </row>
    <row r="25" ht="18.75" spans="2:18">
      <c r="B25" s="2" t="s">
        <v>24</v>
      </c>
      <c r="C25" s="2" t="s">
        <v>25</v>
      </c>
      <c r="D25" s="2" t="s">
        <v>26</v>
      </c>
      <c r="E25" s="2" t="s">
        <v>27</v>
      </c>
      <c r="F25" s="2" t="s">
        <v>95</v>
      </c>
      <c r="G25" s="2" t="s">
        <v>96</v>
      </c>
      <c r="H25" s="2" t="s">
        <v>97</v>
      </c>
      <c r="K25" s="45" t="s">
        <v>99</v>
      </c>
      <c r="L25" s="6"/>
      <c r="M25" s="6"/>
      <c r="N25" s="6"/>
      <c r="P25" s="45" t="s">
        <v>100</v>
      </c>
      <c r="Q25" s="6"/>
      <c r="R25" s="6"/>
    </row>
    <row r="26" ht="15.75" spans="2:18">
      <c r="B26" s="4" t="s">
        <v>34</v>
      </c>
      <c r="C26" s="4">
        <v>99</v>
      </c>
      <c r="D26" s="4">
        <v>83</v>
      </c>
      <c r="E26" s="4">
        <v>85</v>
      </c>
      <c r="F26" s="42" t="str">
        <f>IF(C26&gt;=75,"A","B")</f>
        <v>A</v>
      </c>
      <c r="G26" s="42" t="str">
        <f>IF(D26&gt;=85,"A",(IF(D26&lt;60,"C","B")))</f>
        <v>B</v>
      </c>
      <c r="H26" s="42" t="str">
        <f>IF(E26&gt;=85,"A",IF(AND(E26&lt;85,E26&gt;=60),"B","C"))</f>
        <v>A</v>
      </c>
      <c r="K26" s="6"/>
      <c r="L26" s="6"/>
      <c r="M26" s="6"/>
      <c r="N26" s="6"/>
      <c r="P26" s="46"/>
      <c r="Q26" s="6"/>
      <c r="R26" s="6"/>
    </row>
    <row r="27" ht="15.75" spans="2:18">
      <c r="B27" s="4" t="s">
        <v>35</v>
      </c>
      <c r="C27" s="4">
        <v>65</v>
      </c>
      <c r="D27" s="4">
        <v>53</v>
      </c>
      <c r="E27" s="4">
        <v>43</v>
      </c>
      <c r="F27" s="42" t="str">
        <f>IF(C27&gt;=75,"A","B")</f>
        <v>B</v>
      </c>
      <c r="G27" s="42" t="str">
        <f>IF(D27&gt;=85,"A",(IF(D27&lt;60,"C","B")))</f>
        <v>C</v>
      </c>
      <c r="H27" s="42" t="str">
        <f>IF(E27&gt;=85,"A",IF(AND(E27&lt;85,E27&gt;=60),"B","C"))</f>
        <v>C</v>
      </c>
      <c r="K27" s="24" t="s">
        <v>101</v>
      </c>
      <c r="L27" s="25" t="s">
        <v>25</v>
      </c>
      <c r="M27" s="25" t="s">
        <v>26</v>
      </c>
      <c r="N27" s="25" t="s">
        <v>27</v>
      </c>
      <c r="P27" s="47" t="s">
        <v>102</v>
      </c>
      <c r="Q27" s="6"/>
      <c r="R27" s="6"/>
    </row>
    <row r="28" ht="15.75" spans="2:18">
      <c r="B28" s="4" t="s">
        <v>36</v>
      </c>
      <c r="C28" s="4">
        <v>85</v>
      </c>
      <c r="D28" s="4">
        <v>80</v>
      </c>
      <c r="E28" s="4">
        <v>79</v>
      </c>
      <c r="F28" s="42" t="str">
        <f>IF(C28&gt;=75,"A","B")</f>
        <v>A</v>
      </c>
      <c r="G28" s="42" t="str">
        <f>IF(D28&gt;=85,"A",(IF(D28&lt;60,"C","B")))</f>
        <v>B</v>
      </c>
      <c r="H28" s="42" t="str">
        <f>IF(E28&gt;=85,"A",IF(AND(E28&lt;85,E28&gt;=60),"B","C"))</f>
        <v>B</v>
      </c>
      <c r="K28" s="42" t="s">
        <v>12</v>
      </c>
      <c r="L28" s="5">
        <f>COUNTIF($F$26:$F$30,K28)</f>
        <v>3</v>
      </c>
      <c r="M28" s="5">
        <f>COUNTIF($G$26:$G$30,K28)</f>
        <v>1</v>
      </c>
      <c r="N28" s="5">
        <f>COUNTIF($H$26:$H$30,K28)</f>
        <v>1</v>
      </c>
      <c r="P28" s="48" t="s">
        <v>103</v>
      </c>
      <c r="Q28" s="10">
        <f>COUNTIFS(C26:C30,P28,D26:D30,P28,E26:E30,P28)</f>
        <v>3</v>
      </c>
      <c r="R28" s="6"/>
    </row>
    <row r="29" ht="15.75" spans="2:14">
      <c r="B29" s="4" t="s">
        <v>37</v>
      </c>
      <c r="C29" s="4">
        <v>100</v>
      </c>
      <c r="D29" s="4">
        <v>99</v>
      </c>
      <c r="E29" s="4">
        <v>82</v>
      </c>
      <c r="F29" s="42" t="str">
        <f>IF(C29&gt;=75,"A","B")</f>
        <v>A</v>
      </c>
      <c r="G29" s="42" t="str">
        <f>IF(D29&gt;=85,"A",(IF(D29&lt;60,"C","B")))</f>
        <v>A</v>
      </c>
      <c r="H29" s="42" t="str">
        <f>IF(E29&gt;=85,"A",IF(AND(E29&lt;85,E29&gt;=60),"B","C"))</f>
        <v>B</v>
      </c>
      <c r="K29" s="42" t="s">
        <v>14</v>
      </c>
      <c r="L29" s="5">
        <f t="shared" ref="L29:L30" si="8">COUNTIF($F$26:$F$30,K29)</f>
        <v>2</v>
      </c>
      <c r="M29" s="5">
        <f t="shared" ref="M29:M30" si="9">COUNTIF($G$26:$G$30,K29)</f>
        <v>3</v>
      </c>
      <c r="N29" s="5">
        <f t="shared" ref="N29:N30" si="10">COUNTIF($H$26:$H$30,K29)</f>
        <v>2</v>
      </c>
    </row>
    <row r="30" ht="15.75" spans="2:14">
      <c r="B30" s="4" t="s">
        <v>38</v>
      </c>
      <c r="C30" s="4">
        <v>45</v>
      </c>
      <c r="D30" s="4">
        <v>60</v>
      </c>
      <c r="E30" s="4">
        <v>30</v>
      </c>
      <c r="F30" s="42" t="str">
        <f>IF(C30&gt;=75,"A","B")</f>
        <v>B</v>
      </c>
      <c r="G30" s="42" t="str">
        <f>IF(D30&gt;=85,"A",(IF(D30&lt;60,"C","B")))</f>
        <v>B</v>
      </c>
      <c r="H30" s="42" t="str">
        <f>IF(E30&gt;=85,"A",IF(AND(E30&lt;85,E30&gt;=60),"B","C"))</f>
        <v>C</v>
      </c>
      <c r="K30" s="42" t="s">
        <v>15</v>
      </c>
      <c r="L30" s="5">
        <f t="shared" si="8"/>
        <v>0</v>
      </c>
      <c r="M30" s="5">
        <f t="shared" si="9"/>
        <v>1</v>
      </c>
      <c r="N30" s="5">
        <f t="shared" si="10"/>
        <v>2</v>
      </c>
    </row>
    <row r="31" spans="2:14">
      <c r="B31" s="6"/>
      <c r="C31" s="6"/>
      <c r="D31" s="6"/>
      <c r="E31" s="6"/>
      <c r="F31" s="6"/>
      <c r="G31" s="6"/>
      <c r="H31" s="6"/>
      <c r="K31" s="6"/>
      <c r="L31" s="6"/>
      <c r="M31" s="6"/>
      <c r="N31" s="6"/>
    </row>
    <row r="32" spans="2:14">
      <c r="B32" s="6"/>
      <c r="C32" s="6"/>
      <c r="D32" s="6"/>
      <c r="E32" s="6"/>
      <c r="F32" s="6"/>
      <c r="G32" s="6"/>
      <c r="H32" s="6"/>
      <c r="N32" s="6"/>
    </row>
    <row r="33" spans="6:14">
      <c r="F33" s="6"/>
      <c r="G33" s="6"/>
      <c r="H33" s="6"/>
      <c r="N33" s="6"/>
    </row>
    <row r="34" ht="21" spans="2:14">
      <c r="B34" s="1" t="s">
        <v>104</v>
      </c>
      <c r="F34" s="6"/>
      <c r="G34" s="6"/>
      <c r="H34" s="6"/>
      <c r="N34" s="6"/>
    </row>
    <row r="35" ht="18.75" spans="2:16">
      <c r="B35" s="43" t="s">
        <v>24</v>
      </c>
      <c r="C35" s="43" t="s">
        <v>25</v>
      </c>
      <c r="D35" s="43" t="s">
        <v>26</v>
      </c>
      <c r="E35" s="43" t="s">
        <v>27</v>
      </c>
      <c r="F35" s="43" t="s">
        <v>87</v>
      </c>
      <c r="G35" s="43" t="s">
        <v>88</v>
      </c>
      <c r="H35" s="43" t="s">
        <v>89</v>
      </c>
      <c r="K35" s="45" t="s">
        <v>105</v>
      </c>
      <c r="L35" s="6"/>
      <c r="M35" s="6"/>
      <c r="N35" s="6"/>
      <c r="O35" s="6"/>
      <c r="P35" s="6"/>
    </row>
    <row r="36" ht="15.75" spans="2:16">
      <c r="B36" s="20" t="s">
        <v>34</v>
      </c>
      <c r="C36" s="20">
        <v>99</v>
      </c>
      <c r="D36" s="20">
        <v>83</v>
      </c>
      <c r="E36" s="20">
        <v>85</v>
      </c>
      <c r="F36" s="20" t="b">
        <f>C36=100</f>
        <v>0</v>
      </c>
      <c r="G36" s="20" t="b">
        <f>AND(C36&gt;75,D36&gt;75,E36&gt;75)</f>
        <v>1</v>
      </c>
      <c r="H36" s="20" t="b">
        <f>OR(C36&lt;35,D36&lt;35,E36&lt;35)</f>
        <v>0</v>
      </c>
      <c r="K36" s="49"/>
      <c r="L36" s="6"/>
      <c r="M36" s="6"/>
      <c r="N36" s="6"/>
      <c r="O36" s="6"/>
      <c r="P36" s="6"/>
    </row>
    <row r="37" spans="2:16">
      <c r="B37" s="20" t="s">
        <v>35</v>
      </c>
      <c r="C37" s="20">
        <v>65</v>
      </c>
      <c r="D37" s="20">
        <v>53</v>
      </c>
      <c r="E37" s="20">
        <v>43</v>
      </c>
      <c r="F37" s="20" t="b">
        <f>C37=100</f>
        <v>0</v>
      </c>
      <c r="G37" s="20" t="b">
        <f>AND(C37&gt;75,D37&gt;75,E37&gt;75)</f>
        <v>0</v>
      </c>
      <c r="H37" s="20" t="b">
        <f>OR(C37&lt;35,D37&lt;35,E37&lt;35)</f>
        <v>0</v>
      </c>
      <c r="K37" s="50" t="s">
        <v>89</v>
      </c>
      <c r="L37" s="50" t="s">
        <v>25</v>
      </c>
      <c r="M37" s="50" t="s">
        <v>26</v>
      </c>
      <c r="N37" s="50" t="s">
        <v>27</v>
      </c>
      <c r="O37" s="6"/>
      <c r="P37" s="6"/>
    </row>
    <row r="38" spans="2:16">
      <c r="B38" s="20" t="s">
        <v>36</v>
      </c>
      <c r="C38" s="20">
        <v>85</v>
      </c>
      <c r="D38" s="20">
        <v>80</v>
      </c>
      <c r="E38" s="20">
        <v>79</v>
      </c>
      <c r="F38" s="20" t="b">
        <f>C38=100</f>
        <v>0</v>
      </c>
      <c r="G38" s="20" t="b">
        <f>AND(C38&gt;75,D38&gt;75,E38&gt;75)</f>
        <v>1</v>
      </c>
      <c r="H38" s="20" t="b">
        <f>OR(C38&lt;35,D38&lt;35,E38&lt;35)</f>
        <v>0</v>
      </c>
      <c r="K38" s="51" t="b">
        <v>0</v>
      </c>
      <c r="L38" s="51">
        <f>SUMIF($H$36:$H$40,$K$38,C36:C40)</f>
        <v>349</v>
      </c>
      <c r="M38" s="51">
        <f t="shared" ref="M38:N38" si="11">SUMIF($H$36:$H$40,$K$38,D36:D40)</f>
        <v>315</v>
      </c>
      <c r="N38" s="51">
        <f t="shared" si="11"/>
        <v>289</v>
      </c>
      <c r="O38" s="6"/>
      <c r="P38" s="6"/>
    </row>
    <row r="39" spans="2:8">
      <c r="B39" s="20" t="s">
        <v>37</v>
      </c>
      <c r="C39" s="20">
        <v>100</v>
      </c>
      <c r="D39" s="20">
        <v>99</v>
      </c>
      <c r="E39" s="20">
        <v>82</v>
      </c>
      <c r="F39" s="20" t="b">
        <f>C39=100</f>
        <v>1</v>
      </c>
      <c r="G39" s="20" t="b">
        <f>AND(C39&gt;75,D39&gt;75,E39&gt;75)</f>
        <v>1</v>
      </c>
      <c r="H39" s="20" t="b">
        <f>OR(C39&lt;35,D39&lt;35,E39&lt;35)</f>
        <v>0</v>
      </c>
    </row>
    <row r="40" spans="2:8">
      <c r="B40" s="20" t="s">
        <v>38</v>
      </c>
      <c r="C40" s="20">
        <v>45</v>
      </c>
      <c r="D40" s="20">
        <v>60</v>
      </c>
      <c r="E40" s="20">
        <v>30</v>
      </c>
      <c r="F40" s="20" t="b">
        <f>C40=100</f>
        <v>0</v>
      </c>
      <c r="G40" s="20" t="b">
        <f>AND(C40&gt;75,D40&gt;75,E40&gt;75)</f>
        <v>0</v>
      </c>
      <c r="H40" s="20" t="b">
        <f>OR(C40&lt;35,D40&lt;35,E40&lt;35)</f>
        <v>1</v>
      </c>
    </row>
    <row r="41" spans="2:8">
      <c r="B41" s="6"/>
      <c r="C41" s="6"/>
      <c r="D41" s="6"/>
      <c r="E41" s="6"/>
      <c r="F41" s="6"/>
      <c r="G41" s="6"/>
      <c r="H41" s="6"/>
    </row>
    <row r="42" spans="8:8">
      <c r="H42" s="6"/>
    </row>
    <row r="43" spans="8:8">
      <c r="H43" s="6"/>
    </row>
    <row r="44" spans="8:8">
      <c r="H44" s="6"/>
    </row>
    <row r="45" spans="8:8">
      <c r="H45" s="6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40"/>
  <sheetViews>
    <sheetView topLeftCell="A23" workbookViewId="0">
      <selection activeCell="G37" sqref="G37"/>
    </sheetView>
  </sheetViews>
  <sheetFormatPr defaultColWidth="9" defaultRowHeight="15" outlineLevelCol="6"/>
  <cols>
    <col min="2" max="2" width="13.7142857142857" customWidth="1"/>
    <col min="3" max="3" width="15.5714285714286" customWidth="1"/>
    <col min="4" max="4" width="15.1428571428571" customWidth="1"/>
    <col min="5" max="5" width="11" customWidth="1"/>
    <col min="6" max="6" width="9.42857142857143" customWidth="1"/>
    <col min="7" max="7" width="11.4285714285714" customWidth="1"/>
  </cols>
  <sheetData>
    <row r="2" ht="21" spans="2:2">
      <c r="B2" s="1" t="s">
        <v>106</v>
      </c>
    </row>
    <row r="3" spans="2:4">
      <c r="B3" s="32">
        <v>37492</v>
      </c>
      <c r="C3" s="6"/>
      <c r="D3" s="6"/>
    </row>
    <row r="4" spans="2:4">
      <c r="B4" s="6"/>
      <c r="C4" s="6"/>
      <c r="D4" s="6"/>
    </row>
    <row r="5" spans="2:4">
      <c r="B5" s="7" t="s">
        <v>107</v>
      </c>
      <c r="C5" s="33">
        <f ca="1">TODAY()</f>
        <v>45799</v>
      </c>
      <c r="D5" s="6"/>
    </row>
    <row r="6" spans="2:4">
      <c r="B6" s="7" t="s">
        <v>108</v>
      </c>
      <c r="C6" s="34">
        <f ca="1">NOW()</f>
        <v>45799.5426388889</v>
      </c>
      <c r="D6" s="8"/>
    </row>
    <row r="10" ht="21" spans="2:2">
      <c r="B10" s="1" t="s">
        <v>109</v>
      </c>
    </row>
    <row r="11" spans="2:4">
      <c r="B11" s="80" t="s">
        <v>110</v>
      </c>
      <c r="C11" s="36">
        <f ca="1">NOW()</f>
        <v>45799.5426388889</v>
      </c>
      <c r="D11" s="20">
        <f ca="1">DAY(C11)</f>
        <v>22</v>
      </c>
    </row>
    <row r="12" spans="2:4">
      <c r="B12" s="80" t="s">
        <v>110</v>
      </c>
      <c r="C12" s="36">
        <f ca="1">C11-100</f>
        <v>45699.5426388889</v>
      </c>
      <c r="D12" s="20">
        <f ca="1">DAY(C12)</f>
        <v>11</v>
      </c>
    </row>
    <row r="13" spans="2:4">
      <c r="B13" s="7"/>
      <c r="C13" s="6"/>
      <c r="D13" s="6"/>
    </row>
    <row r="14" spans="2:4">
      <c r="B14" s="7"/>
      <c r="C14" s="6"/>
      <c r="D14" s="6"/>
    </row>
    <row r="15" spans="2:4">
      <c r="B15" s="80" t="s">
        <v>111</v>
      </c>
      <c r="C15" s="36">
        <f ca="1">NOW()</f>
        <v>45799.5426388889</v>
      </c>
      <c r="D15" s="20">
        <f ca="1">MONTH(C15)</f>
        <v>5</v>
      </c>
    </row>
    <row r="16" spans="2:4">
      <c r="B16" s="80" t="s">
        <v>111</v>
      </c>
      <c r="C16" s="36">
        <f ca="1">C15-100</f>
        <v>45699.5426388889</v>
      </c>
      <c r="D16" s="20">
        <f ca="1">MONTH(C16)</f>
        <v>2</v>
      </c>
    </row>
    <row r="17" spans="2:4">
      <c r="B17" s="7"/>
      <c r="C17" s="6"/>
      <c r="D17" s="6"/>
    </row>
    <row r="18" spans="2:4">
      <c r="B18" s="7"/>
      <c r="C18" s="6"/>
      <c r="D18" s="6"/>
    </row>
    <row r="19" spans="2:4">
      <c r="B19" s="80" t="s">
        <v>112</v>
      </c>
      <c r="C19" s="36">
        <f ca="1">NOW()</f>
        <v>45799.5426388889</v>
      </c>
      <c r="D19" s="20">
        <f ca="1">YEAR(C19)</f>
        <v>2025</v>
      </c>
    </row>
    <row r="20" spans="2:4">
      <c r="B20" s="80" t="s">
        <v>112</v>
      </c>
      <c r="C20" s="36">
        <f ca="1">C19-200</f>
        <v>45599.5426388889</v>
      </c>
      <c r="D20" s="20">
        <f ca="1">YEAR(C20)</f>
        <v>2024</v>
      </c>
    </row>
    <row r="24" ht="21" spans="2:2">
      <c r="B24" s="1" t="s">
        <v>113</v>
      </c>
    </row>
    <row r="25" ht="15.75" spans="2:7">
      <c r="B25" s="6"/>
      <c r="C25" s="2" t="s">
        <v>114</v>
      </c>
      <c r="D25" s="2" t="s">
        <v>115</v>
      </c>
      <c r="E25" s="2" t="s">
        <v>8</v>
      </c>
      <c r="F25" s="6"/>
      <c r="G25" s="6"/>
    </row>
    <row r="26" ht="15.75" spans="2:7">
      <c r="B26" s="37" t="s">
        <v>116</v>
      </c>
      <c r="C26" s="38">
        <f ca="1">TODAY()</f>
        <v>45799</v>
      </c>
      <c r="D26" s="38">
        <f ca="1">C26-11</f>
        <v>45788</v>
      </c>
      <c r="E26" s="4">
        <f ca="1">_xlfn.DAYS(C26,D26)</f>
        <v>11</v>
      </c>
      <c r="F26" s="6"/>
      <c r="G26" s="6"/>
    </row>
    <row r="27" ht="15.75" spans="2:7">
      <c r="B27" s="6"/>
      <c r="C27" s="38">
        <v>43383</v>
      </c>
      <c r="D27" s="38">
        <v>42943</v>
      </c>
      <c r="E27" s="4">
        <f>_xlfn.DAYS(C27,D27)</f>
        <v>440</v>
      </c>
      <c r="F27" s="6"/>
      <c r="G27" s="6"/>
    </row>
    <row r="28" spans="2:7">
      <c r="B28" s="6"/>
      <c r="C28" s="6"/>
      <c r="D28" s="6"/>
      <c r="E28" s="6"/>
      <c r="F28" s="6"/>
      <c r="G28" s="6"/>
    </row>
    <row r="29" spans="2:7">
      <c r="B29" s="6"/>
      <c r="C29" s="6"/>
      <c r="D29" s="6"/>
      <c r="E29" s="6"/>
      <c r="F29" s="6"/>
      <c r="G29" s="6"/>
    </row>
    <row r="30" spans="2:7">
      <c r="B30" s="6"/>
      <c r="C30" s="6"/>
      <c r="D30" s="6"/>
      <c r="E30" s="6"/>
      <c r="F30" s="6"/>
      <c r="G30" s="6"/>
    </row>
    <row r="31" ht="15.75" spans="2:7">
      <c r="B31" s="6"/>
      <c r="C31" s="2" t="s">
        <v>114</v>
      </c>
      <c r="D31" s="2" t="s">
        <v>115</v>
      </c>
      <c r="E31" s="2" t="s">
        <v>8</v>
      </c>
      <c r="F31" s="2" t="s">
        <v>117</v>
      </c>
      <c r="G31" s="2" t="s">
        <v>118</v>
      </c>
    </row>
    <row r="32" ht="15.75" spans="2:7">
      <c r="B32" s="81" t="s">
        <v>119</v>
      </c>
      <c r="C32" s="38">
        <f ca="1">TODAY()</f>
        <v>45799</v>
      </c>
      <c r="D32" s="38">
        <f ca="1">C32-11</f>
        <v>45788</v>
      </c>
      <c r="E32" s="4">
        <f ca="1">_xlfn.DAYS(C32,D32)</f>
        <v>11</v>
      </c>
      <c r="F32" s="20">
        <f ca="1">E32*24</f>
        <v>264</v>
      </c>
      <c r="G32" s="20">
        <f ca="1">E32*60</f>
        <v>660</v>
      </c>
    </row>
    <row r="33" ht="15.75" spans="2:7">
      <c r="B33" s="6"/>
      <c r="C33" s="38">
        <v>43383</v>
      </c>
      <c r="D33" s="38">
        <v>42943</v>
      </c>
      <c r="E33" s="4">
        <f>_xlfn.DAYS(C33,D33)</f>
        <v>440</v>
      </c>
      <c r="F33" s="20">
        <f>E33*24</f>
        <v>10560</v>
      </c>
      <c r="G33" s="20">
        <f>E33*60</f>
        <v>26400</v>
      </c>
    </row>
    <row r="34" spans="2:7">
      <c r="B34" s="6"/>
      <c r="C34" s="6"/>
      <c r="D34" s="6"/>
      <c r="E34" s="6"/>
      <c r="F34" s="6"/>
      <c r="G34" s="6"/>
    </row>
    <row r="35" spans="2:7">
      <c r="B35" s="6"/>
      <c r="C35" s="6"/>
      <c r="D35" s="6"/>
      <c r="E35" s="6"/>
      <c r="F35" s="6"/>
      <c r="G35" s="6"/>
    </row>
    <row r="36" spans="2:7">
      <c r="B36" s="6"/>
      <c r="C36" s="6"/>
      <c r="D36" s="6"/>
      <c r="E36" s="6"/>
      <c r="F36" s="6"/>
      <c r="G36" s="6"/>
    </row>
    <row r="37" ht="15.75" spans="2:7">
      <c r="B37" s="6"/>
      <c r="C37" s="2" t="s">
        <v>114</v>
      </c>
      <c r="D37" s="2" t="s">
        <v>115</v>
      </c>
      <c r="E37" s="2" t="s">
        <v>8</v>
      </c>
      <c r="F37" s="6"/>
      <c r="G37" s="6"/>
    </row>
    <row r="38" ht="15.75" spans="2:7">
      <c r="B38" s="37" t="s">
        <v>120</v>
      </c>
      <c r="C38" s="38">
        <f ca="1">TODAY()</f>
        <v>45799</v>
      </c>
      <c r="D38" s="38">
        <f ca="1">C38-11</f>
        <v>45788</v>
      </c>
      <c r="E38" s="4">
        <f ca="1">DATEDIF(D38,C38,"d")</f>
        <v>11</v>
      </c>
      <c r="F38" s="6"/>
      <c r="G38" s="6"/>
    </row>
    <row r="39" ht="15.75" spans="2:7">
      <c r="B39" s="6"/>
      <c r="C39" s="38">
        <v>43403</v>
      </c>
      <c r="D39" s="38">
        <v>42943</v>
      </c>
      <c r="E39" s="4">
        <f>DATEDIF(D39,C39,"m")</f>
        <v>15</v>
      </c>
      <c r="F39" s="6"/>
      <c r="G39" s="6"/>
    </row>
    <row r="40" ht="15.75" spans="2:7">
      <c r="B40" s="6"/>
      <c r="C40" s="38">
        <v>43382</v>
      </c>
      <c r="D40" s="38">
        <v>42937</v>
      </c>
      <c r="E40" s="4">
        <f>DATEDIF(D40,C40,"y")</f>
        <v>1</v>
      </c>
      <c r="F40" s="6"/>
      <c r="G40" s="6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67"/>
  <sheetViews>
    <sheetView topLeftCell="A46" workbookViewId="0">
      <selection activeCell="F51" sqref="F51"/>
    </sheetView>
  </sheetViews>
  <sheetFormatPr defaultColWidth="9" defaultRowHeight="15"/>
  <cols>
    <col min="6" max="7" width="17.4285714285714" customWidth="1"/>
    <col min="8" max="8" width="32.7142857142857" customWidth="1"/>
    <col min="9" max="10" width="10.8571428571429" customWidth="1"/>
    <col min="12" max="12" width="11.7142857142857" customWidth="1"/>
    <col min="15" max="15" width="15.4285714285714" customWidth="1"/>
  </cols>
  <sheetData>
    <row r="2" ht="21" spans="2:2">
      <c r="B2" s="1" t="s">
        <v>121</v>
      </c>
    </row>
    <row r="3" ht="15.75" spans="2:10">
      <c r="B3" s="2" t="s">
        <v>24</v>
      </c>
      <c r="C3" s="2" t="s">
        <v>25</v>
      </c>
      <c r="D3" s="2" t="s">
        <v>26</v>
      </c>
      <c r="E3" s="2" t="s">
        <v>27</v>
      </c>
      <c r="F3" s="3" t="s">
        <v>122</v>
      </c>
      <c r="I3" s="24" t="s">
        <v>24</v>
      </c>
      <c r="J3" s="31" t="s">
        <v>122</v>
      </c>
    </row>
    <row r="4" ht="15.75" spans="2:10">
      <c r="B4" s="4" t="s">
        <v>34</v>
      </c>
      <c r="C4" s="4">
        <v>99</v>
      </c>
      <c r="D4" s="4">
        <v>83</v>
      </c>
      <c r="E4" s="4">
        <v>85</v>
      </c>
      <c r="F4" s="5">
        <f>VLOOKUP(B4,$I$4:$J$11,2,0)</f>
        <v>45</v>
      </c>
      <c r="I4" s="4" t="s">
        <v>39</v>
      </c>
      <c r="J4" s="4">
        <v>93</v>
      </c>
    </row>
    <row r="5" ht="15.75" spans="2:10">
      <c r="B5" s="4" t="s">
        <v>35</v>
      </c>
      <c r="C5" s="4">
        <v>65</v>
      </c>
      <c r="D5" s="4">
        <v>53</v>
      </c>
      <c r="E5" s="4">
        <v>43</v>
      </c>
      <c r="F5" s="5">
        <f t="shared" ref="F5:F8" si="0">VLOOKUP(B5,$I$4:$J$11,2,0)</f>
        <v>62</v>
      </c>
      <c r="I5" s="4" t="s">
        <v>35</v>
      </c>
      <c r="J5" s="4">
        <v>62</v>
      </c>
    </row>
    <row r="6" ht="15.75" spans="2:10">
      <c r="B6" s="4" t="s">
        <v>36</v>
      </c>
      <c r="C6" s="4">
        <v>85</v>
      </c>
      <c r="D6" s="4">
        <v>80</v>
      </c>
      <c r="E6" s="4">
        <v>79</v>
      </c>
      <c r="F6" s="5">
        <f t="shared" si="0"/>
        <v>85</v>
      </c>
      <c r="I6" s="4" t="s">
        <v>37</v>
      </c>
      <c r="J6" s="4">
        <v>82</v>
      </c>
    </row>
    <row r="7" ht="15.75" spans="2:10">
      <c r="B7" s="4" t="s">
        <v>37</v>
      </c>
      <c r="C7" s="4">
        <v>100</v>
      </c>
      <c r="D7" s="4">
        <v>99</v>
      </c>
      <c r="E7" s="4">
        <v>82</v>
      </c>
      <c r="F7" s="5">
        <f t="shared" si="0"/>
        <v>82</v>
      </c>
      <c r="I7" s="4" t="s">
        <v>123</v>
      </c>
      <c r="J7" s="4">
        <v>99</v>
      </c>
    </row>
    <row r="8" ht="15.75" spans="2:10">
      <c r="B8" s="4" t="s">
        <v>38</v>
      </c>
      <c r="C8" s="4">
        <v>45</v>
      </c>
      <c r="D8" s="4">
        <v>60</v>
      </c>
      <c r="E8" s="4">
        <v>30</v>
      </c>
      <c r="F8" s="5">
        <f t="shared" si="0"/>
        <v>100</v>
      </c>
      <c r="I8" s="4" t="s">
        <v>124</v>
      </c>
      <c r="J8" s="4">
        <v>65</v>
      </c>
    </row>
    <row r="9" ht="15.75" spans="2:10">
      <c r="B9" s="6"/>
      <c r="C9" s="7"/>
      <c r="D9" s="6"/>
      <c r="E9" s="6"/>
      <c r="F9" s="6"/>
      <c r="I9" s="4" t="s">
        <v>36</v>
      </c>
      <c r="J9" s="4">
        <v>85</v>
      </c>
    </row>
    <row r="10" ht="15.75" spans="2:10">
      <c r="B10" s="6"/>
      <c r="C10" s="7"/>
      <c r="D10" s="6"/>
      <c r="E10" s="8"/>
      <c r="F10" s="6"/>
      <c r="I10" s="4" t="s">
        <v>38</v>
      </c>
      <c r="J10" s="4">
        <v>100</v>
      </c>
    </row>
    <row r="11" ht="15.75" spans="2:10">
      <c r="B11" s="6"/>
      <c r="C11" s="7"/>
      <c r="D11" s="6"/>
      <c r="E11" s="6"/>
      <c r="F11" s="6"/>
      <c r="I11" s="4" t="s">
        <v>34</v>
      </c>
      <c r="J11" s="4">
        <v>45</v>
      </c>
    </row>
    <row r="12" ht="15.75" spans="4:12">
      <c r="D12" s="9"/>
      <c r="I12" s="6"/>
      <c r="J12" s="6"/>
      <c r="K12" s="6"/>
      <c r="L12" s="6"/>
    </row>
    <row r="13" spans="4:9">
      <c r="D13" s="6"/>
      <c r="I13" s="6"/>
    </row>
    <row r="14" spans="4:9">
      <c r="D14" s="6"/>
      <c r="I14" s="6"/>
    </row>
    <row r="15" ht="21" spans="2:9">
      <c r="B15" s="1" t="s">
        <v>125</v>
      </c>
      <c r="D15" s="6"/>
      <c r="I15" s="6"/>
    </row>
    <row r="16" ht="15.75" spans="2:15">
      <c r="B16" s="2" t="s">
        <v>24</v>
      </c>
      <c r="C16" s="2" t="s">
        <v>25</v>
      </c>
      <c r="D16" s="2" t="s">
        <v>26</v>
      </c>
      <c r="E16" s="2" t="s">
        <v>27</v>
      </c>
      <c r="H16" s="2" t="s">
        <v>24</v>
      </c>
      <c r="I16" s="2" t="s">
        <v>26</v>
      </c>
      <c r="J16" s="2" t="s">
        <v>126</v>
      </c>
      <c r="K16" s="2" t="s">
        <v>127</v>
      </c>
      <c r="L16" s="2" t="s">
        <v>128</v>
      </c>
      <c r="M16" s="2" t="s">
        <v>25</v>
      </c>
      <c r="N16" s="2" t="s">
        <v>27</v>
      </c>
      <c r="O16" s="24" t="s">
        <v>122</v>
      </c>
    </row>
    <row r="17" ht="15.75" spans="2:15">
      <c r="B17" s="4" t="s">
        <v>34</v>
      </c>
      <c r="C17" s="4">
        <v>99</v>
      </c>
      <c r="D17" s="4">
        <v>83</v>
      </c>
      <c r="E17" s="4">
        <v>85</v>
      </c>
      <c r="H17" s="4" t="s">
        <v>39</v>
      </c>
      <c r="I17" s="4">
        <v>99</v>
      </c>
      <c r="J17" s="4">
        <v>80</v>
      </c>
      <c r="K17" s="4">
        <v>85</v>
      </c>
      <c r="L17" s="4">
        <v>78</v>
      </c>
      <c r="M17" s="4">
        <v>83</v>
      </c>
      <c r="N17" s="4">
        <v>85</v>
      </c>
      <c r="O17" s="4">
        <v>93</v>
      </c>
    </row>
    <row r="18" ht="15.75" spans="2:15">
      <c r="B18" s="4" t="s">
        <v>35</v>
      </c>
      <c r="C18" s="4">
        <v>65</v>
      </c>
      <c r="D18" s="4">
        <v>53</v>
      </c>
      <c r="E18" s="4">
        <v>43</v>
      </c>
      <c r="H18" s="4" t="s">
        <v>129</v>
      </c>
      <c r="I18" s="4">
        <v>65</v>
      </c>
      <c r="J18" s="4">
        <v>75</v>
      </c>
      <c r="K18" s="4">
        <v>63</v>
      </c>
      <c r="L18" s="4">
        <v>54</v>
      </c>
      <c r="M18" s="4">
        <v>53</v>
      </c>
      <c r="N18" s="4">
        <v>43</v>
      </c>
      <c r="O18" s="4">
        <v>62</v>
      </c>
    </row>
    <row r="19" ht="15.75" spans="2:12">
      <c r="B19" s="4" t="s">
        <v>36</v>
      </c>
      <c r="C19" s="4">
        <v>85</v>
      </c>
      <c r="D19" s="4">
        <v>80</v>
      </c>
      <c r="E19" s="4">
        <v>79</v>
      </c>
      <c r="F19" s="7"/>
      <c r="G19" s="6"/>
      <c r="H19" s="6"/>
      <c r="I19" s="6"/>
      <c r="J19" s="6"/>
      <c r="K19" s="6"/>
      <c r="L19" s="6"/>
    </row>
    <row r="20" ht="15.75" spans="2:12">
      <c r="B20" s="4" t="s">
        <v>37</v>
      </c>
      <c r="C20" s="4">
        <v>100</v>
      </c>
      <c r="D20" s="4">
        <v>99</v>
      </c>
      <c r="E20" s="4">
        <v>82</v>
      </c>
      <c r="F20" s="7"/>
      <c r="G20" s="6"/>
      <c r="H20" s="6"/>
      <c r="I20" s="6"/>
      <c r="J20" s="6"/>
      <c r="K20" s="6"/>
      <c r="L20" s="6"/>
    </row>
    <row r="21" ht="15.75" spans="2:12">
      <c r="B21" s="4" t="s">
        <v>38</v>
      </c>
      <c r="C21" s="4">
        <v>45</v>
      </c>
      <c r="D21" s="4">
        <v>60</v>
      </c>
      <c r="E21" s="4">
        <v>30</v>
      </c>
      <c r="F21" s="7"/>
      <c r="G21" s="6"/>
      <c r="H21" s="6"/>
      <c r="I21" s="6"/>
      <c r="J21" s="6"/>
      <c r="K21" s="6"/>
      <c r="L21" s="6"/>
    </row>
    <row r="22" ht="15.75" spans="2:5">
      <c r="B22" s="5" t="s">
        <v>39</v>
      </c>
      <c r="C22" s="10">
        <f>HLOOKUP(C16,$I$16:$O$18,2,0)</f>
        <v>83</v>
      </c>
      <c r="D22" s="10">
        <f t="shared" ref="D22:E22" si="1">HLOOKUP(D16,$I$16:$O$18,2,0)</f>
        <v>99</v>
      </c>
      <c r="E22" s="10">
        <f t="shared" si="1"/>
        <v>85</v>
      </c>
    </row>
    <row r="26" ht="21" spans="2:2">
      <c r="B26" s="1" t="s">
        <v>130</v>
      </c>
    </row>
    <row r="27" spans="2:5">
      <c r="B27" s="6"/>
      <c r="C27" s="11">
        <v>1</v>
      </c>
      <c r="D27" s="11">
        <v>2</v>
      </c>
      <c r="E27" s="11">
        <v>3</v>
      </c>
    </row>
    <row r="28" ht="15.75" spans="2:10">
      <c r="B28" s="2" t="s">
        <v>24</v>
      </c>
      <c r="C28" s="2" t="s">
        <v>25</v>
      </c>
      <c r="D28" s="2" t="s">
        <v>26</v>
      </c>
      <c r="E28" s="2" t="s">
        <v>27</v>
      </c>
      <c r="H28" s="12" t="s">
        <v>131</v>
      </c>
      <c r="I28" s="4">
        <v>5</v>
      </c>
      <c r="J28" s="20"/>
    </row>
    <row r="29" ht="15.75" spans="2:10">
      <c r="B29" s="4" t="s">
        <v>34</v>
      </c>
      <c r="C29" s="4">
        <v>99</v>
      </c>
      <c r="D29" s="4">
        <v>83</v>
      </c>
      <c r="E29" s="4">
        <v>85</v>
      </c>
      <c r="H29" s="12" t="s">
        <v>132</v>
      </c>
      <c r="I29" s="20" t="s">
        <v>27</v>
      </c>
      <c r="J29" s="20">
        <f>IF(I29="Maths",1,IF(I29="Science",2,3))</f>
        <v>3</v>
      </c>
    </row>
    <row r="30" ht="15.75" spans="2:10">
      <c r="B30" s="4" t="s">
        <v>35</v>
      </c>
      <c r="C30" s="4">
        <v>65</v>
      </c>
      <c r="D30" s="4">
        <v>53</v>
      </c>
      <c r="E30" s="4">
        <v>43</v>
      </c>
      <c r="H30" s="13" t="s">
        <v>133</v>
      </c>
      <c r="I30" s="10">
        <f>INDEX(C29:E33,I28,J29)</f>
        <v>30</v>
      </c>
      <c r="J30" s="20"/>
    </row>
    <row r="31" ht="15.75" spans="2:5">
      <c r="B31" s="4" t="s">
        <v>36</v>
      </c>
      <c r="C31" s="4">
        <v>85</v>
      </c>
      <c r="D31" s="4">
        <v>80</v>
      </c>
      <c r="E31" s="4">
        <v>79</v>
      </c>
    </row>
    <row r="32" ht="15.75" spans="2:5">
      <c r="B32" s="4" t="s">
        <v>37</v>
      </c>
      <c r="C32" s="4">
        <v>100</v>
      </c>
      <c r="D32" s="4">
        <v>99</v>
      </c>
      <c r="E32" s="4">
        <v>82</v>
      </c>
    </row>
    <row r="33" ht="15.75" spans="2:5">
      <c r="B33" s="4" t="s">
        <v>38</v>
      </c>
      <c r="C33" s="4">
        <v>45</v>
      </c>
      <c r="D33" s="4">
        <v>60</v>
      </c>
      <c r="E33" s="4">
        <v>30</v>
      </c>
    </row>
    <row r="34" spans="2:5">
      <c r="B34" s="6"/>
      <c r="C34" s="6"/>
      <c r="D34" s="6"/>
      <c r="E34" s="6"/>
    </row>
    <row r="35" spans="2:5">
      <c r="B35" s="6"/>
      <c r="C35" s="6"/>
      <c r="D35" s="6"/>
      <c r="E35" s="6"/>
    </row>
    <row r="36" spans="5:5">
      <c r="E36" s="6"/>
    </row>
    <row r="37" ht="21" spans="2:5">
      <c r="B37" s="1" t="s">
        <v>134</v>
      </c>
      <c r="E37" s="6"/>
    </row>
    <row r="38" spans="1:6">
      <c r="A38" s="6"/>
      <c r="B38" s="6"/>
      <c r="C38" s="14">
        <v>1</v>
      </c>
      <c r="D38" s="14">
        <v>2</v>
      </c>
      <c r="E38" s="14">
        <v>3</v>
      </c>
      <c r="F38" s="6"/>
    </row>
    <row r="39" ht="15.75" spans="1:18">
      <c r="A39" s="15"/>
      <c r="B39" s="2" t="s">
        <v>24</v>
      </c>
      <c r="C39" s="2" t="s">
        <v>25</v>
      </c>
      <c r="D39" s="2" t="s">
        <v>26</v>
      </c>
      <c r="E39" s="2" t="s">
        <v>27</v>
      </c>
      <c r="F39" s="2" t="s">
        <v>135</v>
      </c>
      <c r="H39" s="7" t="s">
        <v>136</v>
      </c>
      <c r="I39" s="6"/>
      <c r="J39" s="6"/>
      <c r="K39" s="6"/>
      <c r="N39" s="7" t="s">
        <v>137</v>
      </c>
      <c r="O39" s="6"/>
      <c r="P39" s="6"/>
      <c r="Q39" s="6"/>
      <c r="R39" s="6"/>
    </row>
    <row r="40" ht="15.75" spans="1:18">
      <c r="A40" s="16">
        <v>1</v>
      </c>
      <c r="B40" s="4" t="s">
        <v>34</v>
      </c>
      <c r="C40" s="4">
        <v>99</v>
      </c>
      <c r="D40" s="4">
        <v>83</v>
      </c>
      <c r="E40" s="17">
        <v>85</v>
      </c>
      <c r="F40" s="18">
        <f>MAX(C40:E40)</f>
        <v>99</v>
      </c>
      <c r="H40" s="6"/>
      <c r="I40" s="6"/>
      <c r="J40" s="6"/>
      <c r="K40" s="6"/>
      <c r="N40" s="6"/>
      <c r="O40" s="6"/>
      <c r="P40" s="6"/>
      <c r="Q40" s="6"/>
      <c r="R40" s="6"/>
    </row>
    <row r="41" ht="15.75" spans="1:18">
      <c r="A41" s="19">
        <v>2</v>
      </c>
      <c r="B41" s="4" t="s">
        <v>35</v>
      </c>
      <c r="C41" s="4">
        <v>65</v>
      </c>
      <c r="D41" s="4">
        <v>79</v>
      </c>
      <c r="E41" s="4">
        <v>43</v>
      </c>
      <c r="F41" s="18">
        <f>MAX(C41:E41)</f>
        <v>79</v>
      </c>
      <c r="H41" s="20"/>
      <c r="I41" s="2" t="s">
        <v>25</v>
      </c>
      <c r="J41" s="2" t="s">
        <v>26</v>
      </c>
      <c r="K41" s="2" t="s">
        <v>27</v>
      </c>
      <c r="N41" s="20"/>
      <c r="O41" s="10" t="s">
        <v>138</v>
      </c>
      <c r="P41" s="6"/>
      <c r="Q41" s="6"/>
      <c r="R41" s="6"/>
    </row>
    <row r="42" ht="15.75" spans="1:18">
      <c r="A42" s="19">
        <v>3</v>
      </c>
      <c r="B42" s="4" t="s">
        <v>36</v>
      </c>
      <c r="C42" s="4">
        <v>82</v>
      </c>
      <c r="D42" s="4">
        <v>80</v>
      </c>
      <c r="E42" s="4">
        <v>84</v>
      </c>
      <c r="F42" s="18">
        <f>MAX(C42:E42)</f>
        <v>84</v>
      </c>
      <c r="H42" s="13" t="s">
        <v>139</v>
      </c>
      <c r="I42" s="10">
        <f>MATCH(C45,C40:C44,0)</f>
        <v>4</v>
      </c>
      <c r="J42" s="10">
        <f t="shared" ref="J42:K42" si="2">MATCH(D45,D40:D44,0)</f>
        <v>4</v>
      </c>
      <c r="K42" s="10">
        <f t="shared" si="2"/>
        <v>1</v>
      </c>
      <c r="N42" s="4" t="s">
        <v>34</v>
      </c>
      <c r="O42" s="10">
        <f>MATCH(F40,C40:E40,0)</f>
        <v>1</v>
      </c>
      <c r="P42" s="6"/>
      <c r="Q42" s="6"/>
      <c r="R42" s="6"/>
    </row>
    <row r="43" ht="15.75" spans="1:18">
      <c r="A43" s="19">
        <v>4</v>
      </c>
      <c r="B43" s="4" t="s">
        <v>37</v>
      </c>
      <c r="C43" s="17">
        <v>100</v>
      </c>
      <c r="D43" s="17">
        <v>99</v>
      </c>
      <c r="E43" s="4">
        <v>82</v>
      </c>
      <c r="F43" s="18">
        <f>MAX(C43:E43)</f>
        <v>100</v>
      </c>
      <c r="N43" s="4" t="s">
        <v>35</v>
      </c>
      <c r="O43" s="10">
        <f t="shared" ref="O43:O44" si="3">MATCH(F41,C41:E41,0)</f>
        <v>2</v>
      </c>
      <c r="P43" s="6"/>
      <c r="Q43" s="6"/>
      <c r="R43" s="6"/>
    </row>
    <row r="44" ht="15.75" spans="1:18">
      <c r="A44" s="19">
        <v>5</v>
      </c>
      <c r="B44" s="4" t="s">
        <v>38</v>
      </c>
      <c r="C44" s="4">
        <v>45</v>
      </c>
      <c r="D44" s="4">
        <v>60</v>
      </c>
      <c r="E44" s="4">
        <v>30</v>
      </c>
      <c r="F44" s="18">
        <f>MAX(C44:E44)</f>
        <v>60</v>
      </c>
      <c r="N44" s="4" t="s">
        <v>36</v>
      </c>
      <c r="O44" s="10">
        <f t="shared" si="3"/>
        <v>3</v>
      </c>
      <c r="P44" s="6"/>
      <c r="Q44" s="6"/>
      <c r="R44" s="6"/>
    </row>
    <row r="45" ht="15.75" spans="1:6">
      <c r="A45" s="6"/>
      <c r="B45" s="21" t="s">
        <v>41</v>
      </c>
      <c r="C45" s="22">
        <f>MAX(C40:C44)</f>
        <v>100</v>
      </c>
      <c r="D45" s="22">
        <f>MAX(D40:D44)</f>
        <v>99</v>
      </c>
      <c r="E45" s="22">
        <f>MAX(E40:E44)</f>
        <v>85</v>
      </c>
      <c r="F45" s="6"/>
    </row>
    <row r="46" spans="2:7">
      <c r="B46" s="6"/>
      <c r="C46" s="6"/>
      <c r="D46" s="6"/>
      <c r="E46" s="6"/>
      <c r="F46" s="6"/>
      <c r="G46" s="6"/>
    </row>
    <row r="47" spans="2:7">
      <c r="B47" s="6"/>
      <c r="C47" s="6"/>
      <c r="D47" s="6"/>
      <c r="E47" s="6"/>
      <c r="F47" s="6"/>
      <c r="G47" s="6"/>
    </row>
    <row r="48" spans="2:7">
      <c r="B48" s="6"/>
      <c r="G48" s="6"/>
    </row>
    <row r="49" ht="21" spans="2:7">
      <c r="B49" s="23" t="s">
        <v>140</v>
      </c>
      <c r="G49" s="6"/>
    </row>
    <row r="50" ht="15.75" spans="2:10">
      <c r="B50" s="24" t="s">
        <v>24</v>
      </c>
      <c r="C50" s="24" t="s">
        <v>25</v>
      </c>
      <c r="D50" s="24" t="s">
        <v>26</v>
      </c>
      <c r="E50" s="24" t="s">
        <v>27</v>
      </c>
      <c r="F50" s="25" t="s">
        <v>122</v>
      </c>
      <c r="G50" s="6"/>
      <c r="I50" s="31" t="s">
        <v>122</v>
      </c>
      <c r="J50" s="24" t="s">
        <v>24</v>
      </c>
    </row>
    <row r="51" ht="15.75" spans="2:10">
      <c r="B51" s="26" t="s">
        <v>34</v>
      </c>
      <c r="C51" s="26">
        <v>99</v>
      </c>
      <c r="D51" s="26">
        <v>83</v>
      </c>
      <c r="E51" s="26">
        <v>85</v>
      </c>
      <c r="F51" s="27">
        <f>INDEX($I$51:$J$58,MATCH(B51,$J$51:$J$58,0),1)</f>
        <v>45</v>
      </c>
      <c r="G51" s="6"/>
      <c r="I51" s="26">
        <v>93</v>
      </c>
      <c r="J51" s="26" t="s">
        <v>39</v>
      </c>
    </row>
    <row r="52" ht="15.75" spans="2:10">
      <c r="B52" s="26" t="s">
        <v>35</v>
      </c>
      <c r="C52" s="26">
        <v>65</v>
      </c>
      <c r="D52" s="26">
        <v>53</v>
      </c>
      <c r="E52" s="26">
        <v>43</v>
      </c>
      <c r="F52" s="27">
        <f t="shared" ref="F52:F55" si="4">INDEX($I$51:$J$58,MATCH(B52,$J$51:$J$58,0),1)</f>
        <v>62</v>
      </c>
      <c r="G52" s="6"/>
      <c r="I52" s="26">
        <v>62</v>
      </c>
      <c r="J52" s="26" t="s">
        <v>35</v>
      </c>
    </row>
    <row r="53" ht="15.75" spans="2:10">
      <c r="B53" s="26" t="s">
        <v>36</v>
      </c>
      <c r="C53" s="26">
        <v>85</v>
      </c>
      <c r="D53" s="26">
        <v>80</v>
      </c>
      <c r="E53" s="26">
        <v>79</v>
      </c>
      <c r="F53" s="27">
        <f t="shared" si="4"/>
        <v>85</v>
      </c>
      <c r="I53" s="26">
        <v>82</v>
      </c>
      <c r="J53" s="26" t="s">
        <v>37</v>
      </c>
    </row>
    <row r="54" ht="15.75" spans="2:10">
      <c r="B54" s="26" t="s">
        <v>37</v>
      </c>
      <c r="C54" s="26">
        <v>100</v>
      </c>
      <c r="D54" s="26">
        <v>99</v>
      </c>
      <c r="E54" s="26">
        <v>82</v>
      </c>
      <c r="F54" s="27">
        <f t="shared" si="4"/>
        <v>82</v>
      </c>
      <c r="I54" s="26">
        <v>99</v>
      </c>
      <c r="J54" s="26" t="s">
        <v>123</v>
      </c>
    </row>
    <row r="55" ht="15.75" spans="2:10">
      <c r="B55" s="26" t="s">
        <v>38</v>
      </c>
      <c r="C55" s="26">
        <v>45</v>
      </c>
      <c r="D55" s="26">
        <v>60</v>
      </c>
      <c r="E55" s="26">
        <v>30</v>
      </c>
      <c r="F55" s="27">
        <f t="shared" si="4"/>
        <v>100</v>
      </c>
      <c r="I55" s="26">
        <v>65</v>
      </c>
      <c r="J55" s="26" t="s">
        <v>124</v>
      </c>
    </row>
    <row r="56" ht="15.75" spans="2:10">
      <c r="B56" s="28"/>
      <c r="C56" s="29"/>
      <c r="D56" s="28"/>
      <c r="E56" s="28"/>
      <c r="F56" s="28"/>
      <c r="I56" s="26">
        <v>85</v>
      </c>
      <c r="J56" s="26" t="s">
        <v>36</v>
      </c>
    </row>
    <row r="57" ht="15.75" spans="2:10">
      <c r="B57" s="28"/>
      <c r="C57" s="29"/>
      <c r="D57" s="28"/>
      <c r="E57" s="30"/>
      <c r="F57" s="28"/>
      <c r="I57" s="26">
        <v>100</v>
      </c>
      <c r="J57" s="26" t="s">
        <v>38</v>
      </c>
    </row>
    <row r="58" ht="15.75" spans="2:10">
      <c r="B58" s="28"/>
      <c r="C58" s="29"/>
      <c r="D58" s="28"/>
      <c r="E58" s="28"/>
      <c r="F58" s="28"/>
      <c r="I58" s="26">
        <v>45</v>
      </c>
      <c r="J58" s="26" t="s">
        <v>34</v>
      </c>
    </row>
    <row r="59" spans="2:6">
      <c r="B59" s="28"/>
      <c r="E59" s="28"/>
      <c r="F59" s="28"/>
    </row>
    <row r="60" spans="2:6">
      <c r="B60" s="28"/>
      <c r="E60" s="28"/>
      <c r="F60" s="28"/>
    </row>
    <row r="61" spans="2:6">
      <c r="B61" s="28"/>
      <c r="E61" s="28"/>
      <c r="F61" s="28"/>
    </row>
    <row r="62" spans="2:6">
      <c r="B62" s="28"/>
      <c r="E62" s="28"/>
      <c r="F62" s="28"/>
    </row>
    <row r="63" spans="2:6">
      <c r="B63" s="28"/>
      <c r="E63" s="28"/>
      <c r="F63" s="28"/>
    </row>
    <row r="64" spans="2:6">
      <c r="B64" s="28"/>
      <c r="E64" s="28"/>
      <c r="F64" s="28"/>
    </row>
    <row r="65" spans="2:6">
      <c r="B65" s="28"/>
      <c r="E65" s="28"/>
      <c r="F65" s="28"/>
    </row>
    <row r="66" spans="2:6">
      <c r="B66" s="28"/>
      <c r="E66" s="28"/>
      <c r="F66" s="28"/>
    </row>
    <row r="67" spans="2:6">
      <c r="B67" s="28"/>
      <c r="E67" s="28"/>
      <c r="F67" s="2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Samples</vt:lpstr>
      <vt:lpstr>Mathematical Functions</vt:lpstr>
      <vt:lpstr>Textual Functions</vt:lpstr>
      <vt:lpstr>Logical Functions</vt:lpstr>
      <vt:lpstr>Date &amp;Time Functions</vt:lpstr>
      <vt:lpstr>Look Up Functions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M.L.Sai Shruthi</cp:lastModifiedBy>
  <dcterms:created xsi:type="dcterms:W3CDTF">2025-05-20T14:40:00Z</dcterms:created>
  <dcterms:modified xsi:type="dcterms:W3CDTF">2025-05-22T07:31:30Z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B20AC81395AE4F5F9B2472C05D9A9CE5_12</vt:lpwstr>
  </property>
  <property fmtid="{D5CDD505-2E9C-101B-9397-08002B2CF9AE}" pid="3" name="KSOProductBuildVer">
    <vt:lpwstr>1033-12.2.0.21179</vt:lpwstr>
  </property>
</Properties>
</file>