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.Sai Shruthi\Downloads\"/>
    </mc:Choice>
  </mc:AlternateContent>
  <xr:revisionPtr revIDLastSave="0" documentId="13_ncr:1_{3E4E2D94-B92A-4B5C-8CA5-66F23C95A7A2}" xr6:coauthVersionLast="47" xr6:coauthVersionMax="47" xr10:uidLastSave="{00000000-0000-0000-0000-000000000000}"/>
  <bookViews>
    <workbookView xWindow="-120" yWindow="-120" windowWidth="20730" windowHeight="11040" firstSheet="2" activeTab="4" xr2:uid="{01AC0C0A-AA95-46EB-A880-FEB833E6BA8B}"/>
  </bookViews>
  <sheets>
    <sheet name="Whatif" sheetId="1" r:id="rId1"/>
    <sheet name="Scenario Summary" sheetId="3" r:id="rId2"/>
    <sheet name="Scenario Summary 2" sheetId="4" r:id="rId3"/>
    <sheet name="Simplex Method" sheetId="5" r:id="rId4"/>
    <sheet name="Regression Analysis" sheetId="6" r:id="rId5"/>
    <sheet name="Regression A Results" sheetId="7" r:id="rId6"/>
  </sheets>
  <definedNames>
    <definedName name="solver_adj" localSheetId="3" hidden="1">'Simplex Method'!$C$5:$E$5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'Simplex Method'!$H$8</definedName>
    <definedName name="solver_lhs2" localSheetId="3" hidden="1">'Simplex Method'!$H$9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'Simplex Method'!$H$12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hs1" localSheetId="3" hidden="1">'Simplex Method'!$H$5</definedName>
    <definedName name="solver_rhs2" localSheetId="3" hidden="1">'Simplex Method'!$H$6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6" l="1"/>
  <c r="E8" i="6"/>
  <c r="E9" i="6"/>
  <c r="E10" i="6"/>
  <c r="E11" i="6"/>
  <c r="E12" i="6"/>
  <c r="E13" i="6"/>
  <c r="E14" i="6"/>
  <c r="E7" i="6"/>
  <c r="H8" i="5" l="1"/>
  <c r="H9" i="5"/>
  <c r="H12" i="5"/>
  <c r="I12" i="1"/>
  <c r="I13" i="1"/>
  <c r="I15" i="1" l="1"/>
</calcChain>
</file>

<file path=xl/sharedStrings.xml><?xml version="1.0" encoding="utf-8"?>
<sst xmlns="http://schemas.openxmlformats.org/spreadsheetml/2006/main" count="99" uniqueCount="71">
  <si>
    <t>Availability</t>
  </si>
  <si>
    <t>Total Milk Available (Glasses)</t>
  </si>
  <si>
    <t>Price</t>
  </si>
  <si>
    <t>Price of Mango Shake</t>
  </si>
  <si>
    <t>Price of Chocolate Shake</t>
  </si>
  <si>
    <t>Mango-Chocolate split</t>
  </si>
  <si>
    <t>Percentage of milk used for making  Mango shakes</t>
  </si>
  <si>
    <t>Sales</t>
  </si>
  <si>
    <t>Mango Shakes sold (Glasses)</t>
  </si>
  <si>
    <t>Chocolate Shakes sold (Glasses)</t>
  </si>
  <si>
    <t>Earning</t>
  </si>
  <si>
    <t>Total Earnings</t>
  </si>
  <si>
    <t xml:space="preserve"> </t>
  </si>
  <si>
    <t>$I$10</t>
  </si>
  <si>
    <t>10 percent</t>
  </si>
  <si>
    <t>Created by M.L.Sai Shruthi on 25-05-2025
Modified by M.L.Sai Shruthi on 25-05-2025</t>
  </si>
  <si>
    <t>30 percent</t>
  </si>
  <si>
    <t>50 percent</t>
  </si>
  <si>
    <t>Created by M.L.Sai Shruthi on 25-05-2025</t>
  </si>
  <si>
    <t>70 percent</t>
  </si>
  <si>
    <t>90 percent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</si>
  <si>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</si>
  <si>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</si>
  <si>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</si>
  <si>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</si>
  <si>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</si>
  <si>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</si>
  <si>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</si>
  <si>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$I$15</t>
  </si>
  <si>
    <t>Mangos</t>
  </si>
  <si>
    <t>Banana</t>
  </si>
  <si>
    <t>Chocolate</t>
  </si>
  <si>
    <t>Quatity</t>
  </si>
  <si>
    <t>Budget</t>
  </si>
  <si>
    <t>Space Budget</t>
  </si>
  <si>
    <t>Profit Margin</t>
  </si>
  <si>
    <t>Total expenditure</t>
  </si>
  <si>
    <t>Total space taken</t>
  </si>
  <si>
    <t>Cost</t>
  </si>
  <si>
    <t>Storage space</t>
  </si>
  <si>
    <t>Net Profit</t>
  </si>
  <si>
    <t>WHATIF, GOAL SEEK, SCENARIO MANAGER</t>
  </si>
  <si>
    <t>Marketing expnditure</t>
  </si>
  <si>
    <t>Expenditure on Quality Control</t>
  </si>
  <si>
    <t>Sales revenue</t>
  </si>
  <si>
    <t>Solve Maximization Pb using SIMPLEX METHOD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</si>
  <si>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</si>
  <si>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</si>
  <si>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</si>
  <si>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</si>
  <si>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</si>
  <si>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</si>
  <si>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</si>
  <si>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</si>
  <si>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</si>
  <si>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</si>
  <si>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</si>
  <si>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</si>
  <si>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</si>
  <si>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</si>
  <si>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</si>
  <si>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</si>
  <si>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</si>
  <si>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</si>
  <si>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</si>
  <si>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</si>
  <si>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</si>
  <si>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</si>
  <si>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</si>
  <si>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</si>
  <si>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REGRESSSION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</si>
</sst>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4"/>
      <name val="Calibri"/>
      <charset val="134"/>
    </font>
    <font>
      <sz val="12"/>
      <color indexed="8"/>
      <name val="Calibri"/>
      <charset val="134"/>
    </font>
    <font>
      <b/>
      <sz val="12"/>
      <name val="Calibri"/>
      <charset val="134"/>
    </font>
    <font>
      <sz val="14"/>
      <color indexed="8"/>
      <name val="Calibri"/>
      <charset val="134"/>
    </font>
    <font>
      <b/>
      <sz val="11"/>
      <color indexed="10"/>
      <name val="Calibri"/>
      <charset val="134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20"/>
      <color theme="1"/>
      <name val="Calibri"/>
      <family val="2"/>
      <scheme val="minor"/>
    </font>
    <font>
      <b/>
      <sz val="11"/>
      <color indexed="8"/>
      <name val="Calibri"/>
      <family val="2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9" fontId="5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9" fontId="5" fillId="0" borderId="3" xfId="0" applyNumberFormat="1" applyFont="1" applyFill="1" applyBorder="1" applyAlignment="1" applyProtection="1">
      <alignment horizontal="center" vertical="center"/>
    </xf>
    <xf numFmtId="9" fontId="5" fillId="0" borderId="4" xfId="0" applyNumberFormat="1" applyFont="1" applyFill="1" applyBorder="1" applyAlignment="1" applyProtection="1">
      <alignment horizontal="center" vertical="center"/>
    </xf>
    <xf numFmtId="9" fontId="5" fillId="0" borderId="5" xfId="0" applyNumberFormat="1" applyFont="1" applyFill="1" applyBorder="1" applyAlignment="1" applyProtection="1">
      <alignment horizontal="center" vertical="center"/>
    </xf>
    <xf numFmtId="9" fontId="5" fillId="0" borderId="6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center" wrapText="1"/>
    </xf>
    <xf numFmtId="9" fontId="6" fillId="0" borderId="0" xfId="0" applyNumberFormat="1" applyFont="1" applyFill="1" applyBorder="1" applyAlignment="1" applyProtection="1"/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9" fontId="5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/>
    <xf numFmtId="9" fontId="0" fillId="0" borderId="0" xfId="0" applyNumberFormat="1" applyFill="1" applyBorder="1" applyAlignment="1"/>
    <xf numFmtId="0" fontId="0" fillId="0" borderId="8" xfId="0" applyFill="1" applyBorder="1" applyAlignment="1"/>
    <xf numFmtId="0" fontId="7" fillId="2" borderId="9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0" fillId="0" borderId="10" xfId="0" applyFill="1" applyBorder="1" applyAlignment="1"/>
    <xf numFmtId="0" fontId="8" fillId="3" borderId="0" xfId="0" applyFont="1" applyFill="1" applyBorder="1" applyAlignment="1">
      <alignment horizontal="left"/>
    </xf>
    <xf numFmtId="0" fontId="9" fillId="3" borderId="10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right"/>
    </xf>
    <xf numFmtId="0" fontId="10" fillId="2" borderId="9" xfId="0" applyFont="1" applyFill="1" applyBorder="1" applyAlignment="1">
      <alignment horizontal="right"/>
    </xf>
    <xf numFmtId="9" fontId="0" fillId="4" borderId="0" xfId="0" applyNumberFormat="1" applyFill="1" applyBorder="1" applyAlignment="1"/>
    <xf numFmtId="0" fontId="11" fillId="0" borderId="0" xfId="0" applyFont="1" applyFill="1" applyBorder="1" applyAlignment="1">
      <alignment vertical="top" wrapText="1"/>
    </xf>
    <xf numFmtId="0" fontId="12" fillId="0" borderId="0" xfId="0" applyNumberFormat="1" applyFont="1" applyFill="1" applyBorder="1" applyAlignment="1" applyProtection="1"/>
    <xf numFmtId="0" fontId="12" fillId="0" borderId="11" xfId="0" applyNumberFormat="1" applyFont="1" applyFill="1" applyBorder="1" applyAlignment="1" applyProtection="1"/>
    <xf numFmtId="0" fontId="12" fillId="5" borderId="11" xfId="0" applyNumberFormat="1" applyFont="1" applyFill="1" applyBorder="1" applyAlignment="1" applyProtection="1"/>
    <xf numFmtId="9" fontId="13" fillId="0" borderId="0" xfId="0" applyNumberFormat="1" applyFont="1" applyFill="1" applyBorder="1" applyAlignment="1" applyProtection="1"/>
    <xf numFmtId="0" fontId="12" fillId="6" borderId="12" xfId="0" applyNumberFormat="1" applyFont="1" applyFill="1" applyBorder="1" applyAlignment="1" applyProtection="1"/>
    <xf numFmtId="0" fontId="12" fillId="6" borderId="13" xfId="0" applyNumberFormat="1" applyFont="1" applyFill="1" applyBorder="1" applyAlignment="1" applyProtection="1"/>
    <xf numFmtId="0" fontId="14" fillId="0" borderId="0" xfId="0" applyFont="1" applyAlignment="1">
      <alignment horizontal="center"/>
    </xf>
    <xf numFmtId="0" fontId="15" fillId="0" borderId="14" xfId="0" applyNumberFormat="1" applyFont="1" applyFill="1" applyBorder="1" applyAlignment="1" applyProtection="1">
      <alignment horizontal="center" vertical="center"/>
    </xf>
    <xf numFmtId="0" fontId="15" fillId="0" borderId="15" xfId="0" applyNumberFormat="1" applyFont="1" applyFill="1" applyBorder="1" applyAlignment="1" applyProtection="1">
      <alignment horizontal="center" vertical="center"/>
    </xf>
    <xf numFmtId="0" fontId="15" fillId="0" borderId="16" xfId="0" applyNumberFormat="1" applyFont="1" applyFill="1" applyBorder="1" applyAlignment="1" applyProtection="1">
      <alignment horizontal="center" vertical="center"/>
    </xf>
    <xf numFmtId="0" fontId="12" fillId="0" borderId="17" xfId="0" applyNumberFormat="1" applyFont="1" applyFill="1" applyBorder="1" applyAlignment="1" applyProtection="1">
      <alignment horizontal="center" vertical="center"/>
    </xf>
    <xf numFmtId="0" fontId="12" fillId="0" borderId="18" xfId="0" applyNumberFormat="1" applyFont="1" applyFill="1" applyBorder="1" applyAlignment="1" applyProtection="1">
      <alignment horizontal="center" vertical="center"/>
    </xf>
    <xf numFmtId="0" fontId="12" fillId="0" borderId="19" xfId="0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</xf>
    <xf numFmtId="0" fontId="12" fillId="0" borderId="21" xfId="0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6" fillId="0" borderId="23" xfId="0" applyFont="1" applyFill="1" applyBorder="1" applyAlignment="1">
      <alignment horizontal="center"/>
    </xf>
    <xf numFmtId="0" fontId="16" fillId="0" borderId="2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9619-C9D1-4E76-835C-6FB9118B2D76}">
  <dimension ref="B2:M15"/>
  <sheetViews>
    <sheetView workbookViewId="0">
      <selection activeCell="K9" sqref="K9"/>
    </sheetView>
  </sheetViews>
  <sheetFormatPr defaultRowHeight="15"/>
  <cols>
    <col min="2" max="2" width="17" customWidth="1"/>
    <col min="3" max="3" width="16.7109375" customWidth="1"/>
    <col min="4" max="4" width="14.28515625" customWidth="1"/>
    <col min="7" max="7" width="12.42578125" customWidth="1"/>
    <col min="9" max="9" width="11.28515625" customWidth="1"/>
  </cols>
  <sheetData>
    <row r="2" spans="2:13" ht="29.25" customHeight="1">
      <c r="F2" s="46" t="s">
        <v>41</v>
      </c>
      <c r="G2" s="46"/>
      <c r="H2" s="46"/>
      <c r="I2" s="46"/>
      <c r="J2" s="46"/>
      <c r="K2" s="46"/>
      <c r="L2" s="46"/>
      <c r="M2" s="46"/>
    </row>
    <row r="4" spans="2:13" ht="15.75" thickBot="1"/>
    <row r="5" spans="2:13" ht="19.5" thickBot="1">
      <c r="B5" s="2" t="s">
        <v>0</v>
      </c>
      <c r="C5" s="3"/>
      <c r="D5" s="24"/>
      <c r="E5" s="5" t="s">
        <v>1</v>
      </c>
      <c r="F5" s="5"/>
      <c r="G5" s="5"/>
      <c r="H5" s="4"/>
      <c r="I5" s="6">
        <v>100</v>
      </c>
    </row>
    <row r="6" spans="2:13" ht="19.5" thickBot="1">
      <c r="B6" s="7"/>
      <c r="C6" s="8"/>
      <c r="D6" s="8"/>
      <c r="E6" s="10"/>
      <c r="F6" s="10"/>
      <c r="G6" s="10"/>
      <c r="H6" s="9"/>
      <c r="I6" s="1"/>
    </row>
    <row r="7" spans="2:13" ht="18.75">
      <c r="B7" s="11" t="s">
        <v>2</v>
      </c>
      <c r="C7" s="12"/>
      <c r="D7" s="25"/>
      <c r="E7" s="10" t="s">
        <v>3</v>
      </c>
      <c r="F7" s="10"/>
      <c r="G7" s="10"/>
      <c r="H7" s="9"/>
      <c r="I7" s="1">
        <v>50</v>
      </c>
    </row>
    <row r="8" spans="2:13" ht="19.5" thickBot="1">
      <c r="B8" s="13"/>
      <c r="C8" s="14"/>
      <c r="D8" s="25"/>
      <c r="E8" s="10" t="s">
        <v>4</v>
      </c>
      <c r="F8" s="10"/>
      <c r="G8" s="10"/>
      <c r="H8" s="9"/>
      <c r="I8" s="1">
        <v>30</v>
      </c>
      <c r="M8" t="s">
        <v>12</v>
      </c>
    </row>
    <row r="9" spans="2:13" ht="19.5" thickBot="1">
      <c r="B9" s="8"/>
      <c r="C9" s="8"/>
      <c r="D9" s="8"/>
      <c r="E9" s="10"/>
      <c r="F9" s="10"/>
      <c r="G9" s="10"/>
      <c r="H9" s="9"/>
      <c r="I9" s="1"/>
    </row>
    <row r="10" spans="2:13" ht="33.75" customHeight="1" thickBot="1">
      <c r="B10" s="15" t="s">
        <v>5</v>
      </c>
      <c r="C10" s="16"/>
      <c r="D10" s="26"/>
      <c r="E10" s="18" t="s">
        <v>6</v>
      </c>
      <c r="F10" s="18"/>
      <c r="G10" s="18"/>
      <c r="H10" s="17"/>
      <c r="I10" s="19">
        <v>0.75</v>
      </c>
    </row>
    <row r="11" spans="2:13" ht="19.5" thickBot="1">
      <c r="B11" s="8"/>
      <c r="C11" s="8"/>
      <c r="D11" s="8"/>
      <c r="E11" s="10"/>
      <c r="F11" s="10"/>
      <c r="G11" s="10"/>
      <c r="H11" s="9"/>
      <c r="I11" s="1"/>
    </row>
    <row r="12" spans="2:13" ht="18.75">
      <c r="B12" s="20" t="s">
        <v>7</v>
      </c>
      <c r="C12" s="21"/>
      <c r="D12" s="26"/>
      <c r="E12" s="10" t="s">
        <v>8</v>
      </c>
      <c r="F12" s="10"/>
      <c r="G12" s="10"/>
      <c r="H12" s="9"/>
      <c r="I12" s="1">
        <f>I10*I5</f>
        <v>75</v>
      </c>
    </row>
    <row r="13" spans="2:13" ht="19.5" thickBot="1">
      <c r="B13" s="22"/>
      <c r="C13" s="23"/>
      <c r="D13" s="26"/>
      <c r="E13" s="10" t="s">
        <v>9</v>
      </c>
      <c r="F13" s="10"/>
      <c r="G13" s="10"/>
      <c r="H13" s="9"/>
      <c r="I13" s="1">
        <f>(1-I10)*I5</f>
        <v>25</v>
      </c>
    </row>
    <row r="14" spans="2:13" ht="19.5" thickBot="1">
      <c r="B14" s="8"/>
      <c r="C14" s="8"/>
      <c r="D14" s="8"/>
      <c r="E14" s="10"/>
      <c r="F14" s="10"/>
      <c r="G14" s="10"/>
      <c r="H14" s="9"/>
      <c r="I14" s="1"/>
    </row>
    <row r="15" spans="2:13" ht="19.5" thickBot="1">
      <c r="B15" s="15" t="s">
        <v>10</v>
      </c>
      <c r="C15" s="16"/>
      <c r="D15" s="26"/>
      <c r="E15" s="10" t="s">
        <v>11</v>
      </c>
      <c r="F15" s="10"/>
      <c r="G15" s="10"/>
      <c r="H15" s="9"/>
      <c r="I15" s="1">
        <f>I7*I12+I8*I13</f>
        <v>4500</v>
      </c>
    </row>
  </sheetData>
  <scenarios current="4" show="4" sqref="I15">
    <scenario name="10 percent" locked="1" count="1" user="M.L.Sai Shruthi" comment="Created by M.L.Sai Shruthi on 25-05-2025_x000a_Modified by M.L.Sai Shruthi on 25-05-2025">
      <inputCells r="I10" val="0.1" numFmtId="9"/>
    </scenario>
    <scenario name="30 percent" locked="1" count="1" user="M.L.Sai Shruthi" comment="Created by M.L.Sai Shruthi on 25-05-2025_x000a_Modified by M.L.Sai Shruthi on 25-05-2025">
      <inputCells r="I10" val="0.3" numFmtId="9"/>
    </scenario>
    <scenario name="50 percent" locked="1" count="1" user="M.L.Sai Shruthi" comment="Created by M.L.Sai Shruthi on 25-05-2025">
      <inputCells r="I10" val="0.5" numFmtId="9"/>
    </scenario>
    <scenario name="70 percent" locked="1" count="1" user="M.L.Sai Shruthi" comment="Created by M.L.Sai Shruthi on 25-05-2025">
      <inputCells r="I10" val="0.7" numFmtId="9"/>
    </scenario>
    <scenario name="90 percent" locked="1" count="1" user="M.L.Sai Shruthi" comment="Created by M.L.Sai Shruthi on 25-05-2025">
      <inputCells r="I10" val="0.9" numFmtId="9"/>
    </scenario>
  </scenarios>
  <mergeCells count="17">
    <mergeCell ref="E14:G14"/>
    <mergeCell ref="B15:C15"/>
    <mergeCell ref="E15:G15"/>
    <mergeCell ref="F2:M2"/>
    <mergeCell ref="E9:G9"/>
    <mergeCell ref="B10:C10"/>
    <mergeCell ref="E10:G10"/>
    <mergeCell ref="E11:G11"/>
    <mergeCell ref="B12:C13"/>
    <mergeCell ref="E12:G12"/>
    <mergeCell ref="E13:G13"/>
    <mergeCell ref="B5:C5"/>
    <mergeCell ref="E5:G5"/>
    <mergeCell ref="E6:G6"/>
    <mergeCell ref="B7:C8"/>
    <mergeCell ref="E7:G7"/>
    <mergeCell ref="E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86FB-2173-41D6-8880-6F0204F9B2AA}">
  <sheetPr>
    <outlinePr summaryBelow="0"/>
  </sheetPr>
  <dimension ref="B1:I11"/>
  <sheetViews>
    <sheetView showGridLines="0" workbookViewId="0">
      <selection activeCell="J12" sqref="J12"/>
    </sheetView>
  </sheetViews>
  <sheetFormatPr defaultRowHeight="15" outlineLevelRow="1" outlineLevelCol="1"/>
  <cols>
    <col min="3" max="3" width="5.5703125" bestFit="1" customWidth="1"/>
    <col min="4" max="9" width="13.140625" bestFit="1" customWidth="1" outlineLevel="1"/>
  </cols>
  <sheetData>
    <row r="1" spans="2:9" ht="15.75" thickBot="1"/>
    <row r="2" spans="2:9" ht="15.75">
      <c r="B2" s="31" t="s">
        <v>21</v>
      </c>
      <c r="C2" s="31"/>
      <c r="D2" s="36"/>
      <c r="E2" s="36"/>
      <c r="F2" s="36"/>
      <c r="G2" s="36"/>
      <c r="H2" s="36"/>
      <c r="I2" s="36"/>
    </row>
    <row r="3" spans="2:9" ht="15.75" collapsed="1">
      <c r="B3" s="30"/>
      <c r="C3" s="30"/>
      <c r="D3" s="37" t="s">
        <v>23</v>
      </c>
      <c r="E3" s="37" t="s">
        <v>14</v>
      </c>
      <c r="F3" s="37" t="s">
        <v>16</v>
      </c>
      <c r="G3" s="37" t="s">
        <v>17</v>
      </c>
      <c r="H3" s="37" t="s">
        <v>19</v>
      </c>
      <c r="I3" s="37" t="s">
        <v>20</v>
      </c>
    </row>
    <row r="4" spans="2:9" ht="67.5" hidden="1" outlineLevel="1">
      <c r="B4" s="33"/>
      <c r="C4" s="33"/>
      <c r="D4" s="27"/>
      <c r="E4" s="39" t="s">
        <v>15</v>
      </c>
      <c r="F4" s="39" t="s">
        <v>15</v>
      </c>
      <c r="G4" s="39" t="s">
        <v>18</v>
      </c>
      <c r="H4" s="39" t="s">
        <v>18</v>
      </c>
      <c r="I4" s="39" t="s">
        <v>18</v>
      </c>
    </row>
    <row r="5" spans="2:9">
      <c r="B5" s="34" t="s">
        <v>22</v>
      </c>
      <c r="C5" s="34"/>
      <c r="D5" s="32"/>
      <c r="E5" s="32"/>
      <c r="F5" s="32"/>
      <c r="G5" s="32"/>
      <c r="H5" s="32"/>
      <c r="I5" s="32"/>
    </row>
    <row r="6" spans="2:9" outlineLevel="1">
      <c r="B6" s="33"/>
      <c r="C6" s="33" t="s">
        <v>13</v>
      </c>
      <c r="D6" s="28">
        <v>0.9</v>
      </c>
      <c r="E6" s="38">
        <v>0.1</v>
      </c>
      <c r="F6" s="38">
        <v>0.3</v>
      </c>
      <c r="G6" s="38">
        <v>0.5</v>
      </c>
      <c r="H6" s="38">
        <v>0.7</v>
      </c>
      <c r="I6" s="38">
        <v>0.9</v>
      </c>
    </row>
    <row r="7" spans="2:9">
      <c r="B7" s="34" t="s">
        <v>24</v>
      </c>
      <c r="C7" s="34"/>
      <c r="D7" s="32"/>
      <c r="E7" s="32"/>
      <c r="F7" s="32"/>
      <c r="G7" s="32"/>
      <c r="H7" s="32"/>
      <c r="I7" s="32"/>
    </row>
    <row r="8" spans="2:9" ht="15.75" outlineLevel="1" thickBot="1">
      <c r="B8" s="35"/>
      <c r="C8" s="35" t="s">
        <v>28</v>
      </c>
      <c r="D8" s="29">
        <v>4800</v>
      </c>
      <c r="E8" s="29">
        <v>3200</v>
      </c>
      <c r="F8" s="29">
        <v>3600</v>
      </c>
      <c r="G8" s="29">
        <v>4000</v>
      </c>
      <c r="H8" s="29">
        <v>4400</v>
      </c>
      <c r="I8" s="29">
        <v>4800</v>
      </c>
    </row>
    <row r="9" spans="2:9">
      <c r="B9" t="s">
        <v>25</v>
      </c>
    </row>
    <row r="10" spans="2:9">
      <c r="B10" t="s">
        <v>26</v>
      </c>
    </row>
    <row r="11" spans="2:9">
      <c r="B1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659A-1E6A-4433-9F09-1E2A77FDBD79}">
  <sheetPr>
    <outlinePr summaryBelow="0"/>
  </sheetPr>
  <dimension ref="B1:I11"/>
  <sheetViews>
    <sheetView showGridLines="0" workbookViewId="0"/>
  </sheetViews>
  <sheetFormatPr defaultRowHeight="15" outlineLevelRow="1" outlineLevelCol="1"/>
  <cols>
    <col min="3" max="3" width="5.5703125" bestFit="1" customWidth="1"/>
    <col min="4" max="9" width="13.140625" bestFit="1" customWidth="1" outlineLevel="1"/>
  </cols>
  <sheetData>
    <row r="1" spans="2:9" ht="15.75" thickBot="1"/>
    <row r="2" spans="2:9" ht="15.75">
      <c r="B2" s="31" t="s">
        <v>21</v>
      </c>
      <c r="C2" s="31"/>
      <c r="D2" s="36"/>
      <c r="E2" s="36"/>
      <c r="F2" s="36"/>
      <c r="G2" s="36"/>
      <c r="H2" s="36"/>
      <c r="I2" s="36"/>
    </row>
    <row r="3" spans="2:9" ht="15.75" collapsed="1">
      <c r="B3" s="30"/>
      <c r="C3" s="30"/>
      <c r="D3" s="37" t="s">
        <v>23</v>
      </c>
      <c r="E3" s="37" t="s">
        <v>14</v>
      </c>
      <c r="F3" s="37" t="s">
        <v>16</v>
      </c>
      <c r="G3" s="37" t="s">
        <v>17</v>
      </c>
      <c r="H3" s="37" t="s">
        <v>19</v>
      </c>
      <c r="I3" s="37" t="s">
        <v>20</v>
      </c>
    </row>
    <row r="4" spans="2:9" ht="67.5" hidden="1" outlineLevel="1">
      <c r="B4" s="33"/>
      <c r="C4" s="33"/>
      <c r="D4" s="27"/>
      <c r="E4" s="39" t="s">
        <v>15</v>
      </c>
      <c r="F4" s="39" t="s">
        <v>15</v>
      </c>
      <c r="G4" s="39" t="s">
        <v>18</v>
      </c>
      <c r="H4" s="39" t="s">
        <v>18</v>
      </c>
      <c r="I4" s="39" t="s">
        <v>18</v>
      </c>
    </row>
    <row r="5" spans="2:9">
      <c r="B5" s="34" t="s">
        <v>22</v>
      </c>
      <c r="C5" s="34"/>
      <c r="D5" s="32"/>
      <c r="E5" s="32"/>
      <c r="F5" s="32"/>
      <c r="G5" s="32"/>
      <c r="H5" s="32"/>
      <c r="I5" s="32"/>
    </row>
    <row r="6" spans="2:9" outlineLevel="1">
      <c r="B6" s="33"/>
      <c r="C6" s="33" t="s">
        <v>13</v>
      </c>
      <c r="D6" s="28">
        <v>0.75</v>
      </c>
      <c r="E6" s="38">
        <v>0.1</v>
      </c>
      <c r="F6" s="38">
        <v>0.3</v>
      </c>
      <c r="G6" s="38">
        <v>0.5</v>
      </c>
      <c r="H6" s="38">
        <v>0.7</v>
      </c>
      <c r="I6" s="38">
        <v>0.9</v>
      </c>
    </row>
    <row r="7" spans="2:9">
      <c r="B7" s="34" t="s">
        <v>24</v>
      </c>
      <c r="C7" s="34"/>
      <c r="D7" s="32"/>
      <c r="E7" s="32"/>
      <c r="F7" s="32"/>
      <c r="G7" s="32"/>
      <c r="H7" s="32"/>
      <c r="I7" s="32"/>
    </row>
    <row r="8" spans="2:9" ht="15.75" outlineLevel="1" thickBot="1">
      <c r="B8" s="35"/>
      <c r="C8" s="35" t="s">
        <v>28</v>
      </c>
      <c r="D8" s="29">
        <v>4500</v>
      </c>
      <c r="E8" s="29">
        <v>3200</v>
      </c>
      <c r="F8" s="29">
        <v>3600</v>
      </c>
      <c r="G8" s="29">
        <v>4000</v>
      </c>
      <c r="H8" s="29">
        <v>4400</v>
      </c>
      <c r="I8" s="29">
        <v>4800</v>
      </c>
    </row>
    <row r="9" spans="2:9">
      <c r="B9" t="s">
        <v>25</v>
      </c>
    </row>
    <row r="10" spans="2:9">
      <c r="B10" t="s">
        <v>26</v>
      </c>
    </row>
    <row r="11" spans="2:9">
      <c r="B1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73C2-24B8-40EF-8FBA-BF79D6906408}">
  <dimension ref="B2:M12"/>
  <sheetViews>
    <sheetView workbookViewId="0">
      <selection activeCell="L7" sqref="L7"/>
    </sheetView>
  </sheetViews>
  <sheetFormatPr defaultRowHeight="15"/>
  <cols>
    <col min="2" max="2" width="13.28515625" bestFit="1" customWidth="1"/>
    <col min="5" max="5" width="12" bestFit="1" customWidth="1"/>
    <col min="7" max="7" width="17" bestFit="1" customWidth="1"/>
  </cols>
  <sheetData>
    <row r="2" spans="2:13" ht="26.25">
      <c r="F2" s="46" t="s">
        <v>45</v>
      </c>
      <c r="G2" s="46"/>
      <c r="H2" s="46"/>
      <c r="I2" s="46"/>
      <c r="J2" s="46"/>
      <c r="K2" s="46"/>
      <c r="L2" s="46"/>
      <c r="M2" s="46"/>
    </row>
    <row r="4" spans="2:13">
      <c r="B4" s="41"/>
      <c r="C4" s="41" t="s">
        <v>29</v>
      </c>
      <c r="D4" s="41" t="s">
        <v>30</v>
      </c>
      <c r="E4" s="41" t="s">
        <v>31</v>
      </c>
      <c r="F4" s="40"/>
      <c r="G4" s="40"/>
      <c r="H4" s="40"/>
    </row>
    <row r="5" spans="2:13">
      <c r="B5" s="41" t="s">
        <v>32</v>
      </c>
      <c r="C5" s="42">
        <v>8.3333333333333339</v>
      </c>
      <c r="D5" s="42">
        <v>0</v>
      </c>
      <c r="E5" s="42">
        <v>13.333333333333332</v>
      </c>
      <c r="F5" s="40"/>
      <c r="G5" s="41" t="s">
        <v>33</v>
      </c>
      <c r="H5" s="41">
        <v>1000</v>
      </c>
    </row>
    <row r="6" spans="2:13">
      <c r="B6" s="40"/>
      <c r="C6" s="40"/>
      <c r="D6" s="40"/>
      <c r="E6" s="40"/>
      <c r="F6" s="40"/>
      <c r="G6" s="41" t="s">
        <v>34</v>
      </c>
      <c r="H6" s="41">
        <v>60</v>
      </c>
    </row>
    <row r="7" spans="2:13">
      <c r="B7" s="41"/>
      <c r="C7" s="41" t="s">
        <v>29</v>
      </c>
      <c r="D7" s="41" t="s">
        <v>30</v>
      </c>
      <c r="E7" s="41" t="s">
        <v>31</v>
      </c>
      <c r="F7" s="40"/>
      <c r="G7" s="40"/>
      <c r="H7" s="40"/>
    </row>
    <row r="8" spans="2:13">
      <c r="B8" s="41" t="s">
        <v>35</v>
      </c>
      <c r="C8" s="41">
        <v>50</v>
      </c>
      <c r="D8" s="41">
        <v>30</v>
      </c>
      <c r="E8" s="41">
        <v>40</v>
      </c>
      <c r="F8" s="40"/>
      <c r="G8" s="41" t="s">
        <v>36</v>
      </c>
      <c r="H8" s="41">
        <f>C5*C10+D5*D10+E5*E10</f>
        <v>1000</v>
      </c>
    </row>
    <row r="9" spans="2:13">
      <c r="B9" s="40"/>
      <c r="C9" s="40"/>
      <c r="D9" s="40"/>
      <c r="E9" s="40"/>
      <c r="F9" s="40"/>
      <c r="G9" s="41" t="s">
        <v>37</v>
      </c>
      <c r="H9" s="41">
        <f>C5*C11+D5*D11+E5*E11</f>
        <v>60</v>
      </c>
    </row>
    <row r="10" spans="2:13">
      <c r="B10" s="41" t="s">
        <v>38</v>
      </c>
      <c r="C10" s="41">
        <v>40</v>
      </c>
      <c r="D10" s="41">
        <v>20</v>
      </c>
      <c r="E10" s="41">
        <v>50</v>
      </c>
      <c r="F10" s="40"/>
      <c r="G10" s="43"/>
      <c r="H10" s="40"/>
    </row>
    <row r="11" spans="2:13" ht="15.75" thickBot="1">
      <c r="B11" s="41" t="s">
        <v>39</v>
      </c>
      <c r="C11" s="41">
        <v>4</v>
      </c>
      <c r="D11" s="41">
        <v>6</v>
      </c>
      <c r="E11" s="41">
        <v>2</v>
      </c>
      <c r="F11" s="40"/>
      <c r="G11" s="40"/>
      <c r="H11" s="40"/>
    </row>
    <row r="12" spans="2:13" ht="15.75" thickBot="1">
      <c r="B12" s="40"/>
      <c r="C12" s="40"/>
      <c r="D12" s="40"/>
      <c r="E12" s="40"/>
      <c r="F12" s="40"/>
      <c r="G12" s="44" t="s">
        <v>40</v>
      </c>
      <c r="H12" s="45">
        <f>C5*C8+D5*D8+E5*E8</f>
        <v>950</v>
      </c>
    </row>
  </sheetData>
  <mergeCells count="1">
    <mergeCell ref="F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9F68-CC7E-4A9D-BD87-61330C6FCBFE}">
  <dimension ref="B2:I16"/>
  <sheetViews>
    <sheetView tabSelected="1" workbookViewId="0">
      <selection activeCell="F14" sqref="F14"/>
    </sheetView>
  </sheetViews>
  <sheetFormatPr defaultRowHeight="15"/>
  <cols>
    <col min="2" max="2" width="20.7109375" bestFit="1" customWidth="1"/>
    <col min="3" max="3" width="29" bestFit="1" customWidth="1"/>
    <col min="4" max="4" width="13.5703125" bestFit="1" customWidth="1"/>
  </cols>
  <sheetData>
    <row r="2" spans="2:9" ht="26.25">
      <c r="E2" s="46" t="s">
        <v>70</v>
      </c>
      <c r="F2" s="46"/>
      <c r="G2" s="46"/>
      <c r="H2" s="46"/>
      <c r="I2" s="46"/>
    </row>
    <row r="5" spans="2:9" ht="15.75" thickBot="1">
      <c r="B5" s="27">
        <v>1.2004014948250672</v>
      </c>
      <c r="C5" s="29">
        <v>1.7056722131842386</v>
      </c>
      <c r="D5" s="27">
        <v>268.88125016900551</v>
      </c>
      <c r="E5" s="40"/>
    </row>
    <row r="6" spans="2:9">
      <c r="B6" s="47" t="s">
        <v>42</v>
      </c>
      <c r="C6" s="48" t="s">
        <v>43</v>
      </c>
      <c r="D6" s="49" t="s">
        <v>44</v>
      </c>
    </row>
    <row r="7" spans="2:9">
      <c r="B7" s="50">
        <v>673</v>
      </c>
      <c r="C7" s="51">
        <v>238</v>
      </c>
      <c r="D7" s="52">
        <v>1487</v>
      </c>
      <c r="E7" s="40">
        <f>(B7*$B$5)+(C7*$C$5)+$D$5</f>
        <v>1482.7014429241244</v>
      </c>
    </row>
    <row r="8" spans="2:9">
      <c r="B8" s="50">
        <v>231</v>
      </c>
      <c r="C8" s="51">
        <v>482</v>
      </c>
      <c r="D8" s="52">
        <v>1129</v>
      </c>
      <c r="E8" s="40">
        <f t="shared" ref="E8:E15" si="0">(B8*$B$5)+(C8*$C$5)+$D$5</f>
        <v>1368.3080022283989</v>
      </c>
    </row>
    <row r="9" spans="2:9">
      <c r="B9" s="50">
        <v>593</v>
      </c>
      <c r="C9" s="51">
        <v>223</v>
      </c>
      <c r="D9" s="52">
        <v>1372</v>
      </c>
      <c r="E9" s="40">
        <f t="shared" si="0"/>
        <v>1361.0842401403556</v>
      </c>
    </row>
    <row r="10" spans="2:9">
      <c r="B10" s="50">
        <v>521</v>
      </c>
      <c r="C10" s="51">
        <v>121</v>
      </c>
      <c r="D10" s="52">
        <v>900</v>
      </c>
      <c r="E10" s="40">
        <f t="shared" si="0"/>
        <v>1100.6767667681584</v>
      </c>
    </row>
    <row r="11" spans="2:9">
      <c r="B11" s="50">
        <v>245</v>
      </c>
      <c r="C11" s="51">
        <v>829</v>
      </c>
      <c r="D11" s="52">
        <v>2034</v>
      </c>
      <c r="E11" s="40">
        <f t="shared" si="0"/>
        <v>1976.9818811308805</v>
      </c>
    </row>
    <row r="12" spans="2:9">
      <c r="B12" s="50">
        <v>620</v>
      </c>
      <c r="C12" s="51">
        <v>239</v>
      </c>
      <c r="D12" s="52">
        <v>1732</v>
      </c>
      <c r="E12" s="40">
        <f t="shared" si="0"/>
        <v>1420.7858359115803</v>
      </c>
    </row>
    <row r="13" spans="2:9">
      <c r="B13" s="50">
        <v>111</v>
      </c>
      <c r="C13" s="51">
        <v>455</v>
      </c>
      <c r="D13" s="52">
        <v>1312</v>
      </c>
      <c r="E13" s="40">
        <f t="shared" si="0"/>
        <v>1178.2066730934166</v>
      </c>
    </row>
    <row r="14" spans="2:9" ht="15.75" thickBot="1">
      <c r="B14" s="53">
        <v>923</v>
      </c>
      <c r="C14" s="54">
        <v>600</v>
      </c>
      <c r="D14" s="55">
        <v>2323</v>
      </c>
      <c r="E14" s="40">
        <f t="shared" si="0"/>
        <v>2400.2551578030852</v>
      </c>
    </row>
    <row r="15" spans="2:9">
      <c r="B15" s="56">
        <v>500</v>
      </c>
      <c r="C15" s="56">
        <v>1000</v>
      </c>
      <c r="D15" s="40"/>
      <c r="E15" s="40">
        <f t="shared" si="0"/>
        <v>2574.7542107657778</v>
      </c>
    </row>
    <row r="16" spans="2:9">
      <c r="E16" s="40"/>
    </row>
  </sheetData>
  <mergeCells count="1">
    <mergeCell ref="E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1F7C-6C41-4541-82EC-DE852DFA8D72}">
  <dimension ref="A1:I19"/>
  <sheetViews>
    <sheetView workbookViewId="0">
      <selection activeCell="B17" sqref="B17"/>
    </sheetView>
  </sheetViews>
  <sheetFormatPr defaultRowHeight="15"/>
  <cols>
    <col min="1" max="1" width="29" bestFit="1" customWidth="1"/>
    <col min="2" max="2" width="12" bestFit="1" customWidth="1"/>
    <col min="3" max="3" width="14.5703125" bestFit="1" customWidth="1"/>
    <col min="4" max="5" width="12" bestFit="1" customWidth="1"/>
    <col min="6" max="6" width="13.42578125" bestFit="1" customWidth="1"/>
    <col min="7" max="7" width="12" bestFit="1" customWidth="1"/>
    <col min="8" max="8" width="12.7109375" bestFit="1" customWidth="1"/>
    <col min="9" max="9" width="12.5703125" bestFit="1" customWidth="1"/>
  </cols>
  <sheetData>
    <row r="1" spans="1:9">
      <c r="A1" t="s">
        <v>46</v>
      </c>
    </row>
    <row r="2" spans="1:9" ht="15.75" thickBot="1"/>
    <row r="3" spans="1:9">
      <c r="A3" s="58" t="s">
        <v>47</v>
      </c>
      <c r="B3" s="58"/>
    </row>
    <row r="4" spans="1:9">
      <c r="A4" s="27" t="s">
        <v>48</v>
      </c>
      <c r="B4" s="27">
        <v>0.92601088576095858</v>
      </c>
    </row>
    <row r="5" spans="1:9">
      <c r="A5" s="27" t="s">
        <v>49</v>
      </c>
      <c r="B5" s="27">
        <v>0.85749616054779509</v>
      </c>
    </row>
    <row r="6" spans="1:9">
      <c r="A6" s="27" t="s">
        <v>50</v>
      </c>
      <c r="B6" s="27">
        <v>0.80049462476691313</v>
      </c>
    </row>
    <row r="7" spans="1:9">
      <c r="A7" s="27" t="s">
        <v>51</v>
      </c>
      <c r="B7" s="27">
        <v>210.54759632817266</v>
      </c>
    </row>
    <row r="8" spans="1:9" ht="15.75" thickBot="1">
      <c r="A8" s="29" t="s">
        <v>52</v>
      </c>
      <c r="B8" s="29">
        <v>8</v>
      </c>
    </row>
    <row r="10" spans="1:9" ht="15.75" thickBot="1">
      <c r="A10" t="s">
        <v>53</v>
      </c>
    </row>
    <row r="11" spans="1:9">
      <c r="A11" s="57"/>
      <c r="B11" s="57" t="s">
        <v>58</v>
      </c>
      <c r="C11" s="57" t="s">
        <v>59</v>
      </c>
      <c r="D11" s="57" t="s">
        <v>60</v>
      </c>
      <c r="E11" s="57" t="s">
        <v>61</v>
      </c>
      <c r="F11" s="57" t="s">
        <v>62</v>
      </c>
    </row>
    <row r="12" spans="1:9">
      <c r="A12" s="27" t="s">
        <v>54</v>
      </c>
      <c r="B12" s="27">
        <v>2</v>
      </c>
      <c r="C12" s="27">
        <v>1333755.4234021443</v>
      </c>
      <c r="D12" s="27">
        <v>666877.71170107217</v>
      </c>
      <c r="E12" s="27">
        <v>15.043386968450688</v>
      </c>
      <c r="F12" s="27">
        <v>7.6659576205018939E-3</v>
      </c>
    </row>
    <row r="13" spans="1:9">
      <c r="A13" s="27" t="s">
        <v>55</v>
      </c>
      <c r="B13" s="27">
        <v>5</v>
      </c>
      <c r="C13" s="27">
        <v>221651.45159785572</v>
      </c>
      <c r="D13" s="27">
        <v>44330.290319571141</v>
      </c>
      <c r="E13" s="27"/>
      <c r="F13" s="27"/>
    </row>
    <row r="14" spans="1:9" ht="15.75" thickBot="1">
      <c r="A14" s="29" t="s">
        <v>56</v>
      </c>
      <c r="B14" s="29">
        <v>7</v>
      </c>
      <c r="C14" s="29">
        <v>1555406.875</v>
      </c>
      <c r="D14" s="29"/>
      <c r="E14" s="29"/>
      <c r="F14" s="29"/>
    </row>
    <row r="15" spans="1:9" ht="15.75" thickBot="1"/>
    <row r="16" spans="1:9">
      <c r="A16" s="57"/>
      <c r="B16" s="57" t="s">
        <v>63</v>
      </c>
      <c r="C16" s="57" t="s">
        <v>51</v>
      </c>
      <c r="D16" s="57" t="s">
        <v>64</v>
      </c>
      <c r="E16" s="57" t="s">
        <v>65</v>
      </c>
      <c r="F16" s="57" t="s">
        <v>66</v>
      </c>
      <c r="G16" s="57" t="s">
        <v>67</v>
      </c>
      <c r="H16" s="57" t="s">
        <v>68</v>
      </c>
      <c r="I16" s="57" t="s">
        <v>69</v>
      </c>
    </row>
    <row r="17" spans="1:9">
      <c r="A17" s="27" t="s">
        <v>57</v>
      </c>
      <c r="B17" s="27">
        <v>268.88125016900551</v>
      </c>
      <c r="C17" s="27">
        <v>245.94256801570324</v>
      </c>
      <c r="D17" s="27">
        <v>1.093268450184832</v>
      </c>
      <c r="E17" s="27">
        <v>0.32412793367504045</v>
      </c>
      <c r="F17" s="27">
        <v>-363.33424778191022</v>
      </c>
      <c r="G17" s="27">
        <v>901.09674811992124</v>
      </c>
      <c r="H17" s="27">
        <v>-363.33424778191022</v>
      </c>
      <c r="I17" s="27">
        <v>901.09674811992124</v>
      </c>
    </row>
    <row r="18" spans="1:9">
      <c r="A18" s="27" t="s">
        <v>42</v>
      </c>
      <c r="B18" s="27">
        <v>1.2004014948250672</v>
      </c>
      <c r="C18" s="27">
        <v>0.30647694444172585</v>
      </c>
      <c r="D18" s="27">
        <v>3.9167758508285244</v>
      </c>
      <c r="E18" s="27">
        <v>1.1218284563472144E-2</v>
      </c>
      <c r="F18" s="27">
        <v>0.41257742840184664</v>
      </c>
      <c r="G18" s="27">
        <v>1.9882255612482878</v>
      </c>
      <c r="H18" s="27">
        <v>0.41257742840184664</v>
      </c>
      <c r="I18" s="27">
        <v>1.9882255612482878</v>
      </c>
    </row>
    <row r="19" spans="1:9" ht="15.75" thickBot="1">
      <c r="A19" s="29" t="s">
        <v>43</v>
      </c>
      <c r="B19" s="29">
        <v>1.7056722131842386</v>
      </c>
      <c r="C19" s="29">
        <v>0.35166146557708805</v>
      </c>
      <c r="D19" s="29">
        <v>4.8503244743781471</v>
      </c>
      <c r="E19" s="29">
        <v>4.672513666071315E-3</v>
      </c>
      <c r="F19" s="29">
        <v>0.80169763747853073</v>
      </c>
      <c r="G19" s="29">
        <v>2.6096467888899464</v>
      </c>
      <c r="H19" s="29">
        <v>0.80169763747853073</v>
      </c>
      <c r="I19" s="29">
        <v>2.6096467888899464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Whatif</vt:lpstr>
      <vt:lpstr>Scenario Summary</vt:lpstr>
      <vt:lpstr>Scenario Summary 2</vt:lpstr>
      <vt:lpstr>Simplex Method</vt:lpstr>
      <vt:lpstr>Regression Analysis</vt:lpstr>
      <vt:lpstr>Regression 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ML. SAISHRUTHI</dc:creator>
  <cp:lastModifiedBy>ML. SAISHRUTHI</cp:lastModifiedBy>
  <dcterms:created xsi:type="dcterms:W3CDTF">2025-05-25T09:36:50Z</dcterms:created>
  <dcterms:modified xsi:type="dcterms:W3CDTF">2025-05-25T11:28:26Z</dcterms:modified>
</cp:coreProperties>
</file>